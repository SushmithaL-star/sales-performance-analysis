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pivotCache/pivotCacheDefinition5.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mc:AlternateContent xmlns:mc="http://schemas.openxmlformats.org/markup-compatibility/2006">
    <mc:Choice Requires="x15">
      <x15ac:absPath xmlns:x15ac="http://schemas.microsoft.com/office/spreadsheetml/2010/11/ac" url="E:\Data anlysis\Sales performance analysis\"/>
    </mc:Choice>
  </mc:AlternateContent>
  <xr:revisionPtr revIDLastSave="0" documentId="13_ncr:1_{CD71D22F-0AB3-4F5B-B805-F5D2F4884E43}" xr6:coauthVersionLast="47" xr6:coauthVersionMax="47" xr10:uidLastSave="{00000000-0000-0000-0000-000000000000}"/>
  <bookViews>
    <workbookView xWindow="-120" yWindow="-120" windowWidth="29040" windowHeight="15840" activeTab="4" xr2:uid="{00000000-000D-0000-FFFF-FFFF00000000}"/>
  </bookViews>
  <sheets>
    <sheet name="Sales_Data" sheetId="1" r:id="rId1"/>
    <sheet name="Customers" sheetId="2" r:id="rId2"/>
    <sheet name="Products" sheetId="3" r:id="rId3"/>
    <sheet name="Ranking" sheetId="4" r:id="rId4"/>
    <sheet name="Analysis" sheetId="6" r:id="rId5"/>
  </sheets>
  <definedNames>
    <definedName name="_xlcn.WorksheetConnection_Business_Sales_Portfolio_Project.xlsxTable1Order_DateRevenue" hidden="1">Table1[[Order_Date]:[Revenue]]</definedName>
    <definedName name="Slicer_Product">#N/A</definedName>
    <definedName name="Timeline_Order_Date">#N/A</definedName>
  </definedNames>
  <calcPr calcId="191029"/>
  <pivotCaches>
    <pivotCache cacheId="0" r:id="rId6"/>
    <pivotCache cacheId="1" r:id="rId7"/>
    <pivotCache cacheId="2" r:id="rId8"/>
  </pivotCaches>
  <extLst>
    <ext xmlns:x14="http://schemas.microsoft.com/office/spreadsheetml/2009/9/main" uri="{876F7934-8845-4945-9796-88D515C7AA90}">
      <x14:pivotCaches>
        <pivotCache cacheId="3" r:id="rId9"/>
      </x14:pivotCaches>
    </ex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4" r:id="rId11"/>
      </x15:timelineCachePivotCaches>
    </ext>
    <ext xmlns:x15="http://schemas.microsoft.com/office/spreadsheetml/2010/11/main" uri="{D0CA8CA8-9F24-4464-BF8E-62219DCF47F9}">
      <x15:timelineCacheRefs>
        <x15:timelineCacheRef r:id="rId12"/>
      </x15:timelineCacheRefs>
    </ext>
    <ext xmlns:x15="http://schemas.microsoft.com/office/spreadsheetml/2010/11/main" uri="{FCE2AD5D-F65C-4FA6-A056-5C36A1767C68}">
      <x15:dataModel>
        <x15:modelTables>
          <x15:modelTable id="Table1  Order_Date   Revenue" name="Table1  Order_Date   Revenue" connection="WorksheetConnection_Business_Sales_Portfolio_Project.xlsx!Table1[[Order_Date]:[Revenue]]"/>
        </x15:modelTables>
        <x15:extLst>
          <ext xmlns:x16="http://schemas.microsoft.com/office/spreadsheetml/2014/11/main" uri="{9835A34E-60A6-4A7C-AAB8-D5F71C897F49}">
            <x16:modelTimeGroupings>
              <x16:modelTimeGrouping tableName="Table1  Order_Date   Revenue" columnName="Order_Date" columnId="Order_Date">
                <x16:calculatedTimeColumn columnName="Order_Date (Year)" columnId="Order_Date (Year)" contentType="years" isSelected="1"/>
                <x16:calculatedTimeColumn columnName="Order_Date (Quarter)" columnId="Order_Date (Quarter)" contentType="quarters" isSelected="1"/>
                <x16:calculatedTimeColumn columnName="Order_Date (Month Index)" columnId="Order_Date (Month Index)" contentType="monthsindex" isSelected="1"/>
                <x16:calculatedTimeColumn columnName="Order_Date (Month)" columnId="Order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02" i="4" l="1"/>
  <c r="E3" i="4"/>
  <c r="F3" i="4" s="1" a="1"/>
  <c r="F3" i="4" s="1"/>
  <c r="E4" i="4"/>
  <c r="F4" i="4" s="1" a="1"/>
  <c r="F4" i="4" s="1"/>
  <c r="E5" i="4"/>
  <c r="F5" i="4" s="1" a="1"/>
  <c r="F5" i="4" s="1"/>
  <c r="E6" i="4"/>
  <c r="F6" i="4" s="1" a="1"/>
  <c r="F6" i="4" s="1"/>
  <c r="E7" i="4"/>
  <c r="F7" i="4" s="1" a="1"/>
  <c r="F7" i="4" s="1"/>
  <c r="E8" i="4"/>
  <c r="F8" i="4" s="1" a="1"/>
  <c r="F8" i="4" s="1"/>
  <c r="E9" i="4"/>
  <c r="F9" i="4" s="1" a="1"/>
  <c r="F9" i="4" s="1"/>
  <c r="E10" i="4"/>
  <c r="F10" i="4" s="1" a="1"/>
  <c r="F10" i="4" s="1"/>
  <c r="E11" i="4"/>
  <c r="F11" i="4" s="1" a="1"/>
  <c r="F11" i="4" s="1"/>
  <c r="E12" i="4"/>
  <c r="F12" i="4" s="1" a="1"/>
  <c r="F12" i="4" s="1"/>
  <c r="E13" i="4"/>
  <c r="F13" i="4" s="1" a="1"/>
  <c r="F13" i="4" s="1"/>
  <c r="E14" i="4"/>
  <c r="F14" i="4" s="1" a="1"/>
  <c r="F14" i="4" s="1"/>
  <c r="E15" i="4"/>
  <c r="F15" i="4" s="1" a="1"/>
  <c r="F15" i="4" s="1"/>
  <c r="E16" i="4"/>
  <c r="F16" i="4" s="1" a="1"/>
  <c r="F16" i="4" s="1"/>
  <c r="E17" i="4"/>
  <c r="F17" i="4" s="1" a="1"/>
  <c r="F17" i="4" s="1"/>
  <c r="E18" i="4"/>
  <c r="F18" i="4" s="1" a="1"/>
  <c r="F18" i="4" s="1"/>
  <c r="E19" i="4"/>
  <c r="F19" i="4" s="1" a="1"/>
  <c r="F19" i="4" s="1"/>
  <c r="E20" i="4"/>
  <c r="F20" i="4" s="1" a="1"/>
  <c r="F20" i="4" s="1"/>
  <c r="E21" i="4"/>
  <c r="F21" i="4" s="1" a="1"/>
  <c r="F21" i="4" s="1"/>
  <c r="E22" i="4"/>
  <c r="F22" i="4" s="1" a="1"/>
  <c r="F22" i="4" s="1"/>
  <c r="E23" i="4"/>
  <c r="F23" i="4" s="1" a="1"/>
  <c r="F23" i="4" s="1"/>
  <c r="E24" i="4"/>
  <c r="F24" i="4" s="1" a="1"/>
  <c r="F24" i="4" s="1"/>
  <c r="E25" i="4"/>
  <c r="F25" i="4" s="1" a="1"/>
  <c r="F25" i="4" s="1"/>
  <c r="E26" i="4"/>
  <c r="F26" i="4" s="1" a="1"/>
  <c r="F26" i="4" s="1"/>
  <c r="E27" i="4"/>
  <c r="F27" i="4" s="1" a="1"/>
  <c r="F27" i="4" s="1"/>
  <c r="E28" i="4"/>
  <c r="F28" i="4" s="1" a="1"/>
  <c r="F28" i="4" s="1"/>
  <c r="E29" i="4"/>
  <c r="F29" i="4" s="1" a="1"/>
  <c r="F29" i="4" s="1"/>
  <c r="E30" i="4"/>
  <c r="F30" i="4" s="1" a="1"/>
  <c r="F30" i="4" s="1"/>
  <c r="E31" i="4"/>
  <c r="F31" i="4" s="1" a="1"/>
  <c r="F31" i="4" s="1"/>
  <c r="E32" i="4"/>
  <c r="F32" i="4" s="1" a="1"/>
  <c r="F32" i="4" s="1"/>
  <c r="E33" i="4"/>
  <c r="F33" i="4" s="1" a="1"/>
  <c r="F33" i="4" s="1"/>
  <c r="E34" i="4"/>
  <c r="F34" i="4" s="1" a="1"/>
  <c r="F34" i="4" s="1"/>
  <c r="E35" i="4"/>
  <c r="F35" i="4" s="1" a="1"/>
  <c r="F35" i="4" s="1"/>
  <c r="E36" i="4"/>
  <c r="F36" i="4" s="1" a="1"/>
  <c r="F36" i="4" s="1"/>
  <c r="E37" i="4"/>
  <c r="F37" i="4" s="1" a="1"/>
  <c r="F37" i="4" s="1"/>
  <c r="E38" i="4"/>
  <c r="F38" i="4" s="1" a="1"/>
  <c r="F38" i="4" s="1"/>
  <c r="E39" i="4"/>
  <c r="F39" i="4" s="1" a="1"/>
  <c r="F39" i="4" s="1"/>
  <c r="E40" i="4"/>
  <c r="F40" i="4" s="1" a="1"/>
  <c r="F40" i="4" s="1"/>
  <c r="E41" i="4"/>
  <c r="F41" i="4" s="1" a="1"/>
  <c r="F41" i="4" s="1"/>
  <c r="E42" i="4"/>
  <c r="F42" i="4" a="1"/>
  <c r="F42" i="4" s="1"/>
  <c r="E43" i="4"/>
  <c r="F43" i="4" s="1" a="1"/>
  <c r="F43" i="4" s="1"/>
  <c r="E44" i="4"/>
  <c r="F44" i="4" s="1" a="1"/>
  <c r="F44" i="4" s="1"/>
  <c r="E45" i="4"/>
  <c r="F45" i="4" s="1" a="1"/>
  <c r="F45" i="4" s="1"/>
  <c r="E46" i="4"/>
  <c r="F46" i="4" a="1"/>
  <c r="F46" i="4" s="1"/>
  <c r="E47" i="4"/>
  <c r="F47" i="4" s="1" a="1"/>
  <c r="F47" i="4" s="1"/>
  <c r="E48" i="4"/>
  <c r="F48" i="4" s="1" a="1"/>
  <c r="F48" i="4" s="1"/>
  <c r="E49" i="4"/>
  <c r="F49" i="4" s="1" a="1"/>
  <c r="F49" i="4" s="1"/>
  <c r="E50" i="4"/>
  <c r="F50" i="4" s="1" a="1"/>
  <c r="F50" i="4" s="1"/>
  <c r="E51" i="4"/>
  <c r="F51" i="4" s="1" a="1"/>
  <c r="F51" i="4" s="1"/>
  <c r="E52" i="4"/>
  <c r="F52" i="4" s="1" a="1"/>
  <c r="F52" i="4" s="1"/>
  <c r="E53" i="4"/>
  <c r="F53" i="4" s="1" a="1"/>
  <c r="F53" i="4" s="1"/>
  <c r="E54" i="4"/>
  <c r="F54" i="4" s="1" a="1"/>
  <c r="F54" i="4" s="1"/>
  <c r="E55" i="4"/>
  <c r="F55" i="4" s="1" a="1"/>
  <c r="F55" i="4" s="1"/>
  <c r="E56" i="4"/>
  <c r="F56" i="4" s="1" a="1"/>
  <c r="F56" i="4" s="1"/>
  <c r="E57" i="4"/>
  <c r="F57" i="4" s="1" a="1"/>
  <c r="F57" i="4" s="1"/>
  <c r="E58" i="4"/>
  <c r="F58" i="4" s="1" a="1"/>
  <c r="F58" i="4" s="1"/>
  <c r="E59" i="4"/>
  <c r="F59" i="4" s="1" a="1"/>
  <c r="F59" i="4" s="1"/>
  <c r="E60" i="4"/>
  <c r="F60" i="4" s="1" a="1"/>
  <c r="F60" i="4" s="1"/>
  <c r="E61" i="4"/>
  <c r="F61" i="4" s="1" a="1"/>
  <c r="F61" i="4" s="1"/>
  <c r="E62" i="4"/>
  <c r="F62" i="4" s="1" a="1"/>
  <c r="F62" i="4" s="1"/>
  <c r="E63" i="4"/>
  <c r="F63" i="4" s="1" a="1"/>
  <c r="F63" i="4" s="1"/>
  <c r="E64" i="4"/>
  <c r="F64" i="4" s="1" a="1"/>
  <c r="F64" i="4" s="1"/>
  <c r="E65" i="4"/>
  <c r="F65" i="4" s="1" a="1"/>
  <c r="F65" i="4" s="1"/>
  <c r="E66" i="4"/>
  <c r="F66" i="4" s="1" a="1"/>
  <c r="F66" i="4" s="1"/>
  <c r="E67" i="4"/>
  <c r="F67" i="4" s="1" a="1"/>
  <c r="F67" i="4" s="1"/>
  <c r="E68" i="4"/>
  <c r="F68" i="4" s="1" a="1"/>
  <c r="F68" i="4" s="1"/>
  <c r="E69" i="4"/>
  <c r="F69" i="4" s="1" a="1"/>
  <c r="F69" i="4" s="1"/>
  <c r="E70" i="4"/>
  <c r="F70" i="4" s="1" a="1"/>
  <c r="F70" i="4" s="1"/>
  <c r="E71" i="4"/>
  <c r="F71" i="4" s="1" a="1"/>
  <c r="F71" i="4" s="1"/>
  <c r="E72" i="4"/>
  <c r="F72" i="4" s="1" a="1"/>
  <c r="F72" i="4" s="1"/>
  <c r="E73" i="4"/>
  <c r="F73" i="4" s="1" a="1"/>
  <c r="F73" i="4" s="1"/>
  <c r="E74" i="4"/>
  <c r="F74" i="4" s="1" a="1"/>
  <c r="F74" i="4" s="1"/>
  <c r="E75" i="4"/>
  <c r="F75" i="4" s="1" a="1"/>
  <c r="F75" i="4" s="1"/>
  <c r="E76" i="4"/>
  <c r="F76" i="4" s="1" a="1"/>
  <c r="F76" i="4" s="1"/>
  <c r="E77" i="4"/>
  <c r="F77" i="4" s="1" a="1"/>
  <c r="F77" i="4" s="1"/>
  <c r="E78" i="4"/>
  <c r="F78" i="4" s="1" a="1"/>
  <c r="F78" i="4" s="1"/>
  <c r="E79" i="4"/>
  <c r="F79" i="4" s="1" a="1"/>
  <c r="F79" i="4" s="1"/>
  <c r="E80" i="4"/>
  <c r="F80" i="4" s="1" a="1"/>
  <c r="F80" i="4" s="1"/>
  <c r="E81" i="4"/>
  <c r="F81" i="4" s="1" a="1"/>
  <c r="F81" i="4" s="1"/>
  <c r="E82" i="4"/>
  <c r="F82" i="4" s="1" a="1"/>
  <c r="F82" i="4" s="1"/>
  <c r="E83" i="4"/>
  <c r="F83" i="4" s="1" a="1"/>
  <c r="F83" i="4" s="1"/>
  <c r="E84" i="4"/>
  <c r="F84" i="4" s="1" a="1"/>
  <c r="F84" i="4" s="1"/>
  <c r="E85" i="4"/>
  <c r="F85" i="4" s="1" a="1"/>
  <c r="F85" i="4" s="1"/>
  <c r="E86" i="4"/>
  <c r="F86" i="4" s="1" a="1"/>
  <c r="F86" i="4" s="1"/>
  <c r="E87" i="4"/>
  <c r="F87" i="4" s="1" a="1"/>
  <c r="F87" i="4" s="1"/>
  <c r="E88" i="4"/>
  <c r="F88" i="4" s="1" a="1"/>
  <c r="F88" i="4" s="1"/>
  <c r="E89" i="4"/>
  <c r="F89" i="4" s="1" a="1"/>
  <c r="F89" i="4" s="1"/>
  <c r="E90" i="4"/>
  <c r="F90" i="4" s="1" a="1"/>
  <c r="F90" i="4" s="1"/>
  <c r="E91" i="4"/>
  <c r="F91" i="4" s="1" a="1"/>
  <c r="F91" i="4" s="1"/>
  <c r="E92" i="4"/>
  <c r="F92" i="4" s="1" a="1"/>
  <c r="F92" i="4" s="1"/>
  <c r="E93" i="4"/>
  <c r="F93" i="4" s="1" a="1"/>
  <c r="F93" i="4" s="1"/>
  <c r="E94" i="4"/>
  <c r="F94" i="4" a="1"/>
  <c r="F94" i="4" s="1"/>
  <c r="E95" i="4"/>
  <c r="F95" i="4" s="1" a="1"/>
  <c r="F95" i="4" s="1"/>
  <c r="E96" i="4"/>
  <c r="F96" i="4" s="1" a="1"/>
  <c r="F96" i="4" s="1"/>
  <c r="E97" i="4"/>
  <c r="F97" i="4" s="1" a="1"/>
  <c r="F97" i="4" s="1"/>
  <c r="E98" i="4"/>
  <c r="F98" i="4" a="1"/>
  <c r="F98" i="4" s="1"/>
  <c r="E99" i="4"/>
  <c r="F99" i="4" s="1" a="1"/>
  <c r="F99" i="4" s="1"/>
  <c r="E100" i="4"/>
  <c r="F100" i="4" s="1" a="1"/>
  <c r="F100" i="4" s="1"/>
  <c r="E101" i="4"/>
  <c r="F101" i="4" s="1" a="1"/>
  <c r="F101" i="4" s="1"/>
  <c r="E102" i="4"/>
  <c r="F102" i="4" s="1" a="1"/>
  <c r="F102" i="4" s="1"/>
  <c r="E103" i="4"/>
  <c r="F103" i="4" s="1" a="1"/>
  <c r="F103" i="4" s="1"/>
  <c r="E104" i="4"/>
  <c r="F104" i="4" s="1" a="1"/>
  <c r="F104" i="4" s="1"/>
  <c r="E105" i="4"/>
  <c r="F105" i="4" s="1" a="1"/>
  <c r="F105" i="4" s="1"/>
  <c r="E106" i="4"/>
  <c r="F106" i="4" s="1" a="1"/>
  <c r="F106" i="4" s="1"/>
  <c r="E107" i="4"/>
  <c r="F107" i="4" s="1" a="1"/>
  <c r="F107" i="4" s="1"/>
  <c r="E108" i="4"/>
  <c r="F108" i="4" s="1" a="1"/>
  <c r="F108" i="4" s="1"/>
  <c r="E109" i="4"/>
  <c r="F109" i="4" s="1" a="1"/>
  <c r="F109" i="4" s="1"/>
  <c r="E110" i="4"/>
  <c r="F110" i="4" s="1" a="1"/>
  <c r="F110" i="4" s="1"/>
  <c r="E111" i="4"/>
  <c r="F111" i="4" s="1" a="1"/>
  <c r="F111" i="4" s="1"/>
  <c r="E112" i="4"/>
  <c r="F112" i="4" s="1" a="1"/>
  <c r="F112" i="4" s="1"/>
  <c r="E113" i="4"/>
  <c r="F113" i="4" s="1" a="1"/>
  <c r="F113" i="4" s="1"/>
  <c r="E114" i="4"/>
  <c r="F114" i="4" s="1" a="1"/>
  <c r="F114" i="4" s="1"/>
  <c r="E115" i="4"/>
  <c r="F115" i="4" s="1" a="1"/>
  <c r="F115" i="4" s="1"/>
  <c r="E116" i="4"/>
  <c r="F116" i="4" s="1" a="1"/>
  <c r="F116" i="4" s="1"/>
  <c r="E117" i="4"/>
  <c r="F117" i="4" s="1" a="1"/>
  <c r="F117" i="4" s="1"/>
  <c r="E118" i="4"/>
  <c r="F118" i="4" s="1" a="1"/>
  <c r="F118" i="4" s="1"/>
  <c r="E119" i="4"/>
  <c r="F119" i="4" s="1" a="1"/>
  <c r="F119" i="4" s="1"/>
  <c r="E120" i="4"/>
  <c r="F120" i="4" s="1" a="1"/>
  <c r="F120" i="4" s="1"/>
  <c r="E121" i="4"/>
  <c r="F121" i="4" s="1" a="1"/>
  <c r="F121" i="4" s="1"/>
  <c r="E122" i="4"/>
  <c r="F122" i="4" s="1" a="1"/>
  <c r="F122" i="4" s="1"/>
  <c r="E123" i="4"/>
  <c r="F123" i="4" s="1" a="1"/>
  <c r="F123" i="4" s="1"/>
  <c r="E124" i="4"/>
  <c r="F124" i="4" s="1" a="1"/>
  <c r="F124" i="4" s="1"/>
  <c r="E125" i="4"/>
  <c r="F125" i="4" s="1" a="1"/>
  <c r="F125" i="4" s="1"/>
  <c r="E126" i="4"/>
  <c r="F126" i="4" s="1" a="1"/>
  <c r="F126" i="4" s="1"/>
  <c r="E127" i="4"/>
  <c r="F127" i="4" s="1" a="1"/>
  <c r="F127" i="4" s="1"/>
  <c r="E128" i="4"/>
  <c r="F128" i="4" s="1" a="1"/>
  <c r="F128" i="4" s="1"/>
  <c r="E129" i="4"/>
  <c r="F129" i="4" s="1" a="1"/>
  <c r="F129" i="4" s="1"/>
  <c r="E130" i="4"/>
  <c r="F130" i="4" a="1"/>
  <c r="F130" i="4" s="1"/>
  <c r="E131" i="4"/>
  <c r="F131" i="4" s="1" a="1"/>
  <c r="F131" i="4" s="1"/>
  <c r="E132" i="4"/>
  <c r="F132" i="4" s="1" a="1"/>
  <c r="F132" i="4" s="1"/>
  <c r="E133" i="4"/>
  <c r="F133" i="4" s="1" a="1"/>
  <c r="F133" i="4" s="1"/>
  <c r="E134" i="4"/>
  <c r="F134" i="4" s="1" a="1"/>
  <c r="F134" i="4" s="1"/>
  <c r="E135" i="4"/>
  <c r="F135" i="4" s="1" a="1"/>
  <c r="F135" i="4" s="1"/>
  <c r="E136" i="4"/>
  <c r="F136" i="4" s="1" a="1"/>
  <c r="F136" i="4" s="1"/>
  <c r="E137" i="4"/>
  <c r="F137" i="4" s="1" a="1"/>
  <c r="F137" i="4" s="1"/>
  <c r="E138" i="4"/>
  <c r="F138" i="4" s="1" a="1"/>
  <c r="F138" i="4" s="1"/>
  <c r="E139" i="4"/>
  <c r="F139" i="4" s="1" a="1"/>
  <c r="F139" i="4" s="1"/>
  <c r="E140" i="4"/>
  <c r="F140" i="4" s="1" a="1"/>
  <c r="F140" i="4" s="1"/>
  <c r="E141" i="4"/>
  <c r="F141" i="4" s="1" a="1"/>
  <c r="F141" i="4" s="1"/>
  <c r="E142" i="4"/>
  <c r="F142" i="4" a="1"/>
  <c r="F142" i="4" s="1"/>
  <c r="E143" i="4"/>
  <c r="F143" i="4" s="1" a="1"/>
  <c r="F143" i="4" s="1"/>
  <c r="E144" i="4"/>
  <c r="F144" i="4" s="1" a="1"/>
  <c r="F144" i="4" s="1"/>
  <c r="E145" i="4"/>
  <c r="F145" i="4" s="1" a="1"/>
  <c r="F145" i="4" s="1"/>
  <c r="E146" i="4"/>
  <c r="F146" i="4" s="1" a="1"/>
  <c r="F146" i="4" s="1"/>
  <c r="E147" i="4"/>
  <c r="F147" i="4" s="1" a="1"/>
  <c r="F147" i="4" s="1"/>
  <c r="E148" i="4"/>
  <c r="F148" i="4" s="1" a="1"/>
  <c r="F148" i="4" s="1"/>
  <c r="E149" i="4"/>
  <c r="F149" i="4" s="1" a="1"/>
  <c r="F149" i="4" s="1"/>
  <c r="E150" i="4"/>
  <c r="F150" i="4" s="1" a="1"/>
  <c r="F150" i="4" s="1"/>
  <c r="E151" i="4"/>
  <c r="F151" i="4" s="1" a="1"/>
  <c r="F151" i="4" s="1"/>
  <c r="E152" i="4"/>
  <c r="F152" i="4" s="1" a="1"/>
  <c r="F152" i="4" s="1"/>
  <c r="E153" i="4"/>
  <c r="F153" i="4" s="1" a="1"/>
  <c r="F153" i="4" s="1"/>
  <c r="E154" i="4"/>
  <c r="F154" i="4" s="1" a="1"/>
  <c r="F154" i="4" s="1"/>
  <c r="E155" i="4"/>
  <c r="F155" i="4" s="1" a="1"/>
  <c r="F155" i="4" s="1"/>
  <c r="E156" i="4"/>
  <c r="F156" i="4" s="1" a="1"/>
  <c r="F156" i="4" s="1"/>
  <c r="E157" i="4"/>
  <c r="F157" i="4" s="1" a="1"/>
  <c r="F157" i="4" s="1"/>
  <c r="E158" i="4"/>
  <c r="F158" i="4" s="1" a="1"/>
  <c r="F158" i="4" s="1"/>
  <c r="E159" i="4"/>
  <c r="F159" i="4" s="1" a="1"/>
  <c r="F159" i="4" s="1"/>
  <c r="E160" i="4"/>
  <c r="F160" i="4" s="1" a="1"/>
  <c r="F160" i="4" s="1"/>
  <c r="E161" i="4"/>
  <c r="F161" i="4" s="1" a="1"/>
  <c r="F161" i="4" s="1"/>
  <c r="E162" i="4"/>
  <c r="F162" i="4" s="1" a="1"/>
  <c r="F162" i="4" s="1"/>
  <c r="E163" i="4"/>
  <c r="F163" i="4" s="1" a="1"/>
  <c r="F163" i="4" s="1"/>
  <c r="E164" i="4"/>
  <c r="F164" i="4" s="1" a="1"/>
  <c r="F164" i="4" s="1"/>
  <c r="E165" i="4"/>
  <c r="F165" i="4" s="1" a="1"/>
  <c r="F165" i="4" s="1"/>
  <c r="E166" i="4"/>
  <c r="F166" i="4" s="1" a="1"/>
  <c r="F166" i="4" s="1"/>
  <c r="E167" i="4"/>
  <c r="F167" i="4" s="1" a="1"/>
  <c r="F167" i="4" s="1"/>
  <c r="E168" i="4"/>
  <c r="F168" i="4" s="1" a="1"/>
  <c r="F168" i="4" s="1"/>
  <c r="E169" i="4"/>
  <c r="F169" i="4" s="1" a="1"/>
  <c r="F169" i="4" s="1"/>
  <c r="E170" i="4"/>
  <c r="F170" i="4" s="1" a="1"/>
  <c r="F170" i="4" s="1"/>
  <c r="E171" i="4"/>
  <c r="F171" i="4" s="1" a="1"/>
  <c r="F171" i="4" s="1"/>
  <c r="E172" i="4"/>
  <c r="F172" i="4" s="1" a="1"/>
  <c r="F172" i="4" s="1"/>
  <c r="E173" i="4"/>
  <c r="F173" i="4" s="1" a="1"/>
  <c r="F173" i="4" s="1"/>
  <c r="E174" i="4"/>
  <c r="F174" i="4" s="1" a="1"/>
  <c r="F174" i="4" s="1"/>
  <c r="E175" i="4"/>
  <c r="F175" i="4" s="1" a="1"/>
  <c r="F175" i="4" s="1"/>
  <c r="E176" i="4"/>
  <c r="F176" i="4" s="1" a="1"/>
  <c r="F176" i="4" s="1"/>
  <c r="E177" i="4"/>
  <c r="F177" i="4" s="1" a="1"/>
  <c r="F177" i="4" s="1"/>
  <c r="E178" i="4"/>
  <c r="F178" i="4" s="1" a="1"/>
  <c r="F178" i="4" s="1"/>
  <c r="E179" i="4"/>
  <c r="F179" i="4" s="1" a="1"/>
  <c r="F179" i="4" s="1"/>
  <c r="E180" i="4"/>
  <c r="F180" i="4" s="1" a="1"/>
  <c r="F180" i="4" s="1"/>
  <c r="E181" i="4"/>
  <c r="F181" i="4" s="1" a="1"/>
  <c r="F181" i="4" s="1"/>
  <c r="E182" i="4"/>
  <c r="F182" i="4" s="1" a="1"/>
  <c r="F182" i="4" s="1"/>
  <c r="E183" i="4"/>
  <c r="F183" i="4" s="1" a="1"/>
  <c r="F183" i="4" s="1"/>
  <c r="E184" i="4"/>
  <c r="F184" i="4" s="1" a="1"/>
  <c r="F184" i="4" s="1"/>
  <c r="E185" i="4"/>
  <c r="F185" i="4" s="1" a="1"/>
  <c r="F185" i="4" s="1"/>
  <c r="E186" i="4"/>
  <c r="F186" i="4" s="1" a="1"/>
  <c r="F186" i="4" s="1"/>
  <c r="E187" i="4"/>
  <c r="F187" i="4" s="1" a="1"/>
  <c r="F187" i="4" s="1"/>
  <c r="E188" i="4"/>
  <c r="F188" i="4" s="1" a="1"/>
  <c r="F188" i="4" s="1"/>
  <c r="E189" i="4"/>
  <c r="F189" i="4" s="1" a="1"/>
  <c r="F189" i="4" s="1"/>
  <c r="E190" i="4"/>
  <c r="F190" i="4" s="1" a="1"/>
  <c r="F190" i="4" s="1"/>
  <c r="E191" i="4"/>
  <c r="F191" i="4" s="1" a="1"/>
  <c r="F191" i="4" s="1"/>
  <c r="E192" i="4"/>
  <c r="F192" i="4" s="1" a="1"/>
  <c r="F192" i="4" s="1"/>
  <c r="E193" i="4"/>
  <c r="F193" i="4" s="1" a="1"/>
  <c r="F193" i="4" s="1"/>
  <c r="E194" i="4"/>
  <c r="F194" i="4" s="1" a="1"/>
  <c r="F194" i="4" s="1"/>
  <c r="E195" i="4"/>
  <c r="F195" i="4" s="1" a="1"/>
  <c r="F195" i="4" s="1"/>
  <c r="E196" i="4"/>
  <c r="F196" i="4" s="1" a="1"/>
  <c r="F196" i="4" s="1"/>
  <c r="E197" i="4"/>
  <c r="F197" i="4" s="1" a="1"/>
  <c r="F197" i="4" s="1"/>
  <c r="E198" i="4"/>
  <c r="F198" i="4" s="1" a="1"/>
  <c r="F198" i="4" s="1"/>
  <c r="E199" i="4"/>
  <c r="F199" i="4" s="1" a="1"/>
  <c r="F199" i="4" s="1"/>
  <c r="E200" i="4"/>
  <c r="F200" i="4" s="1" a="1"/>
  <c r="F200" i="4" s="1"/>
  <c r="E201" i="4"/>
  <c r="F201" i="4" s="1" a="1"/>
  <c r="F201" i="4" s="1"/>
  <c r="E202" i="4"/>
  <c r="F202" i="4" s="1" a="1"/>
  <c r="F202" i="4" s="1"/>
  <c r="E203" i="4"/>
  <c r="F203" i="4" s="1" a="1"/>
  <c r="F203" i="4" s="1"/>
  <c r="E204" i="4"/>
  <c r="F204" i="4" s="1" a="1"/>
  <c r="F204" i="4" s="1"/>
  <c r="E205" i="4"/>
  <c r="F205" i="4" s="1" a="1"/>
  <c r="F205" i="4" s="1"/>
  <c r="E206" i="4"/>
  <c r="F206" i="4" s="1" a="1"/>
  <c r="F206" i="4" s="1"/>
  <c r="E207" i="4"/>
  <c r="F207" i="4" s="1" a="1"/>
  <c r="F207" i="4" s="1"/>
  <c r="E208" i="4"/>
  <c r="F208" i="4" s="1" a="1"/>
  <c r="F208" i="4" s="1"/>
  <c r="E209" i="4"/>
  <c r="F209" i="4" s="1" a="1"/>
  <c r="F209" i="4" s="1"/>
  <c r="E210" i="4"/>
  <c r="F210" i="4" s="1" a="1"/>
  <c r="F210" i="4" s="1"/>
  <c r="E211" i="4"/>
  <c r="F211" i="4" s="1" a="1"/>
  <c r="F211" i="4" s="1"/>
  <c r="E212" i="4"/>
  <c r="F212" i="4" s="1" a="1"/>
  <c r="F212" i="4" s="1"/>
  <c r="E213" i="4"/>
  <c r="F213" i="4" s="1" a="1"/>
  <c r="F213" i="4" s="1"/>
  <c r="E214" i="4"/>
  <c r="F214" i="4" s="1" a="1"/>
  <c r="F214" i="4" s="1"/>
  <c r="E215" i="4"/>
  <c r="F215" i="4" s="1" a="1"/>
  <c r="F215" i="4" s="1"/>
  <c r="E216" i="4"/>
  <c r="F216" i="4" s="1" a="1"/>
  <c r="F216" i="4" s="1"/>
  <c r="E217" i="4"/>
  <c r="F217" i="4" s="1" a="1"/>
  <c r="F217" i="4" s="1"/>
  <c r="E218" i="4"/>
  <c r="F218" i="4" s="1" a="1"/>
  <c r="F218" i="4" s="1"/>
  <c r="E219" i="4"/>
  <c r="F219" i="4" s="1" a="1"/>
  <c r="F219" i="4" s="1"/>
  <c r="E220" i="4"/>
  <c r="F220" i="4" s="1" a="1"/>
  <c r="F220" i="4" s="1"/>
  <c r="E221" i="4"/>
  <c r="F221" i="4" s="1" a="1"/>
  <c r="F221" i="4" s="1"/>
  <c r="E222" i="4"/>
  <c r="F222" i="4" s="1" a="1"/>
  <c r="F222" i="4" s="1"/>
  <c r="E223" i="4"/>
  <c r="F223" i="4" s="1" a="1"/>
  <c r="F223" i="4" s="1"/>
  <c r="E224" i="4"/>
  <c r="F224" i="4" s="1" a="1"/>
  <c r="F224" i="4" s="1"/>
  <c r="E225" i="4"/>
  <c r="F225" i="4" s="1" a="1"/>
  <c r="F225" i="4" s="1"/>
  <c r="E226" i="4"/>
  <c r="F226" i="4" s="1" a="1"/>
  <c r="F226" i="4" s="1"/>
  <c r="E227" i="4"/>
  <c r="F227" i="4" s="1" a="1"/>
  <c r="F227" i="4" s="1"/>
  <c r="E228" i="4"/>
  <c r="F228" i="4" s="1" a="1"/>
  <c r="F228" i="4" s="1"/>
  <c r="E229" i="4"/>
  <c r="F229" i="4" s="1" a="1"/>
  <c r="F229" i="4" s="1"/>
  <c r="E230" i="4"/>
  <c r="F230" i="4" s="1" a="1"/>
  <c r="F230" i="4" s="1"/>
  <c r="E231" i="4"/>
  <c r="F231" i="4" s="1" a="1"/>
  <c r="F231" i="4" s="1"/>
  <c r="E232" i="4"/>
  <c r="F232" i="4" s="1" a="1"/>
  <c r="F232" i="4" s="1"/>
  <c r="E233" i="4"/>
  <c r="F233" i="4" s="1" a="1"/>
  <c r="F233" i="4" s="1"/>
  <c r="E234" i="4"/>
  <c r="F234" i="4" s="1" a="1"/>
  <c r="F234" i="4" s="1"/>
  <c r="E235" i="4"/>
  <c r="F235" i="4" s="1" a="1"/>
  <c r="F235" i="4" s="1"/>
  <c r="E236" i="4"/>
  <c r="F236" i="4" s="1" a="1"/>
  <c r="F236" i="4" s="1"/>
  <c r="E237" i="4"/>
  <c r="F237" i="4" s="1" a="1"/>
  <c r="F237" i="4" s="1"/>
  <c r="E238" i="4"/>
  <c r="F238" i="4" s="1" a="1"/>
  <c r="F238" i="4" s="1"/>
  <c r="E239" i="4"/>
  <c r="F239" i="4" s="1" a="1"/>
  <c r="F239" i="4" s="1"/>
  <c r="E240" i="4"/>
  <c r="F240" i="4" s="1" a="1"/>
  <c r="F240" i="4" s="1"/>
  <c r="E241" i="4"/>
  <c r="F241" i="4" s="1" a="1"/>
  <c r="F241" i="4" s="1"/>
  <c r="E242" i="4"/>
  <c r="F242" i="4" s="1" a="1"/>
  <c r="F242" i="4" s="1"/>
  <c r="E243" i="4"/>
  <c r="F243" i="4" s="1" a="1"/>
  <c r="F243" i="4" s="1"/>
  <c r="E244" i="4"/>
  <c r="F244" i="4" s="1" a="1"/>
  <c r="F244" i="4" s="1"/>
  <c r="E245" i="4"/>
  <c r="F245" i="4" s="1" a="1"/>
  <c r="F245" i="4" s="1"/>
  <c r="E246" i="4"/>
  <c r="F246" i="4" s="1" a="1"/>
  <c r="F246" i="4" s="1"/>
  <c r="E247" i="4"/>
  <c r="F247" i="4" s="1" a="1"/>
  <c r="F247" i="4" s="1"/>
  <c r="E248" i="4"/>
  <c r="F248" i="4" s="1" a="1"/>
  <c r="F248" i="4" s="1"/>
  <c r="E249" i="4"/>
  <c r="F249" i="4" s="1" a="1"/>
  <c r="F249" i="4" s="1"/>
  <c r="E250" i="4"/>
  <c r="F250" i="4" s="1" a="1"/>
  <c r="F250" i="4" s="1"/>
  <c r="E251" i="4"/>
  <c r="F251" i="4" s="1" a="1"/>
  <c r="F251" i="4" s="1"/>
  <c r="E252" i="4"/>
  <c r="F252" i="4" s="1" a="1"/>
  <c r="F252" i="4" s="1"/>
  <c r="E253" i="4"/>
  <c r="F253" i="4" s="1" a="1"/>
  <c r="F253" i="4" s="1"/>
  <c r="E254" i="4"/>
  <c r="F254" i="4" s="1" a="1"/>
  <c r="F254" i="4" s="1"/>
  <c r="E255" i="4"/>
  <c r="F255" i="4" s="1" a="1"/>
  <c r="F255" i="4" s="1"/>
  <c r="E256" i="4"/>
  <c r="F256" i="4" s="1" a="1"/>
  <c r="F256" i="4" s="1"/>
  <c r="E257" i="4"/>
  <c r="F257" i="4" s="1" a="1"/>
  <c r="F257" i="4" s="1"/>
  <c r="E258" i="4"/>
  <c r="F258" i="4" s="1" a="1"/>
  <c r="F258" i="4" s="1"/>
  <c r="E259" i="4"/>
  <c r="F259" i="4" s="1" a="1"/>
  <c r="F259" i="4" s="1"/>
  <c r="E260" i="4"/>
  <c r="F260" i="4" s="1" a="1"/>
  <c r="F260" i="4" s="1"/>
  <c r="E261" i="4"/>
  <c r="F261" i="4" s="1" a="1"/>
  <c r="F261" i="4" s="1"/>
  <c r="E262" i="4"/>
  <c r="F262" i="4" s="1" a="1"/>
  <c r="F262" i="4" s="1"/>
  <c r="E263" i="4"/>
  <c r="F263" i="4" s="1" a="1"/>
  <c r="F263" i="4" s="1"/>
  <c r="E264" i="4"/>
  <c r="F264" i="4" s="1" a="1"/>
  <c r="F264" i="4" s="1"/>
  <c r="E265" i="4"/>
  <c r="F265" i="4" s="1" a="1"/>
  <c r="F265" i="4" s="1"/>
  <c r="E266" i="4"/>
  <c r="F266" i="4" s="1" a="1"/>
  <c r="F266" i="4" s="1"/>
  <c r="E267" i="4"/>
  <c r="F267" i="4" s="1" a="1"/>
  <c r="F267" i="4" s="1"/>
  <c r="E268" i="4"/>
  <c r="F268" i="4" s="1" a="1"/>
  <c r="F268" i="4" s="1"/>
  <c r="E269" i="4"/>
  <c r="F269" i="4" s="1" a="1"/>
  <c r="F269" i="4" s="1"/>
  <c r="E270" i="4"/>
  <c r="F270" i="4" s="1" a="1"/>
  <c r="F270" i="4" s="1"/>
  <c r="E271" i="4"/>
  <c r="F271" i="4" s="1" a="1"/>
  <c r="F271" i="4" s="1"/>
  <c r="E272" i="4"/>
  <c r="F272" i="4" s="1" a="1"/>
  <c r="F272" i="4" s="1"/>
  <c r="E273" i="4"/>
  <c r="F273" i="4" s="1" a="1"/>
  <c r="F273" i="4" s="1"/>
  <c r="E274" i="4"/>
  <c r="F274" i="4" s="1" a="1"/>
  <c r="F274" i="4" s="1"/>
  <c r="E275" i="4"/>
  <c r="F275" i="4" s="1" a="1"/>
  <c r="F275" i="4" s="1"/>
  <c r="E276" i="4"/>
  <c r="F276" i="4" s="1" a="1"/>
  <c r="F276" i="4" s="1"/>
  <c r="E277" i="4"/>
  <c r="D277" i="4" s="1"/>
  <c r="F277" i="4" a="1"/>
  <c r="F277" i="4" s="1"/>
  <c r="E278" i="4"/>
  <c r="F278" i="4" s="1" a="1"/>
  <c r="F278" i="4" s="1"/>
  <c r="E279" i="4"/>
  <c r="F279" i="4" s="1" a="1"/>
  <c r="F279" i="4" s="1"/>
  <c r="E280" i="4"/>
  <c r="F280" i="4" s="1" a="1"/>
  <c r="F280" i="4" s="1"/>
  <c r="E281" i="4"/>
  <c r="F281" i="4" s="1" a="1"/>
  <c r="F281" i="4" s="1"/>
  <c r="E282" i="4"/>
  <c r="F282" i="4" s="1" a="1"/>
  <c r="F282" i="4" s="1"/>
  <c r="E283" i="4"/>
  <c r="D283" i="4" s="1"/>
  <c r="E284" i="4"/>
  <c r="F284" i="4" s="1" a="1"/>
  <c r="F284" i="4" s="1"/>
  <c r="E285" i="4"/>
  <c r="F285" i="4" s="1" a="1"/>
  <c r="F285" i="4" s="1"/>
  <c r="E286" i="4"/>
  <c r="F286" i="4" s="1" a="1"/>
  <c r="F286" i="4" s="1"/>
  <c r="E287" i="4"/>
  <c r="F287" i="4" s="1" a="1"/>
  <c r="F287" i="4" s="1"/>
  <c r="E288" i="4"/>
  <c r="F288" i="4" s="1" a="1"/>
  <c r="F288" i="4" s="1"/>
  <c r="E289" i="4"/>
  <c r="F289" i="4" s="1" a="1"/>
  <c r="F289" i="4" s="1"/>
  <c r="E290" i="4"/>
  <c r="F290" i="4" s="1" a="1"/>
  <c r="F290" i="4" s="1"/>
  <c r="E291" i="4"/>
  <c r="F291" i="4" s="1" a="1"/>
  <c r="F291" i="4" s="1"/>
  <c r="E292" i="4"/>
  <c r="F292" i="4" s="1" a="1"/>
  <c r="F292" i="4" s="1"/>
  <c r="E293" i="4"/>
  <c r="D293" i="4" s="1"/>
  <c r="E294" i="4"/>
  <c r="F294" i="4" s="1" a="1"/>
  <c r="F294" i="4" s="1"/>
  <c r="E295" i="4"/>
  <c r="D295" i="4" s="1"/>
  <c r="E296" i="4"/>
  <c r="F296" i="4" s="1" a="1"/>
  <c r="F296" i="4" s="1"/>
  <c r="E297" i="4"/>
  <c r="F297" i="4" s="1" a="1"/>
  <c r="F297" i="4" s="1"/>
  <c r="E298" i="4"/>
  <c r="F298" i="4" s="1" a="1"/>
  <c r="F298" i="4" s="1"/>
  <c r="E299" i="4"/>
  <c r="F299" i="4" s="1" a="1"/>
  <c r="F299" i="4" s="1"/>
  <c r="E300" i="4"/>
  <c r="F300" i="4" s="1" a="1"/>
  <c r="F300" i="4" s="1"/>
  <c r="E301" i="4"/>
  <c r="D301" i="4" s="1"/>
  <c r="E302" i="4"/>
  <c r="F302" i="4" s="1" a="1"/>
  <c r="F302" i="4" s="1"/>
  <c r="D10" i="4"/>
  <c r="D20" i="4"/>
  <c r="D26" i="4"/>
  <c r="D42" i="4"/>
  <c r="D46" i="4"/>
  <c r="D58" i="4"/>
  <c r="D72" i="4"/>
  <c r="D74" i="4"/>
  <c r="D78" i="4"/>
  <c r="D90" i="4"/>
  <c r="D94" i="4"/>
  <c r="D110" i="4"/>
  <c r="D122" i="4"/>
  <c r="D126" i="4"/>
  <c r="D136" i="4"/>
  <c r="D138" i="4"/>
  <c r="D142" i="4"/>
  <c r="D170" i="4"/>
  <c r="D186" i="4"/>
  <c r="D202" i="4"/>
  <c r="D218" i="4"/>
  <c r="D234" i="4"/>
  <c r="D250" i="4"/>
  <c r="D282" i="4"/>
  <c r="D44" i="4"/>
  <c r="D60" i="4"/>
  <c r="D104" i="4"/>
  <c r="D124" i="4"/>
  <c r="D7" i="4"/>
  <c r="D9" i="4"/>
  <c r="D11" i="4"/>
  <c r="D13" i="4"/>
  <c r="D15" i="4"/>
  <c r="D17" i="4"/>
  <c r="D19" i="4"/>
  <c r="D21" i="4"/>
  <c r="D23" i="4"/>
  <c r="D25" i="4"/>
  <c r="D27" i="4"/>
  <c r="D29" i="4"/>
  <c r="D31" i="4"/>
  <c r="D33" i="4"/>
  <c r="D35" i="4"/>
  <c r="D37" i="4"/>
  <c r="D39" i="4"/>
  <c r="D41" i="4"/>
  <c r="D45" i="4"/>
  <c r="D47" i="4"/>
  <c r="D49" i="4"/>
  <c r="D51" i="4"/>
  <c r="D55" i="4"/>
  <c r="D57" i="4"/>
  <c r="D59" i="4"/>
  <c r="D63" i="4"/>
  <c r="D65" i="4"/>
  <c r="D70" i="4"/>
  <c r="D75" i="4"/>
  <c r="D77" i="4"/>
  <c r="D81" i="4"/>
  <c r="D83" i="4"/>
  <c r="D87" i="4"/>
  <c r="D91" i="4"/>
  <c r="D97" i="4"/>
  <c r="D98" i="4"/>
  <c r="D109" i="4"/>
  <c r="D113" i="4"/>
  <c r="D115" i="4"/>
  <c r="D119" i="4"/>
  <c r="D123" i="4"/>
  <c r="D129" i="4"/>
  <c r="D130" i="4"/>
  <c r="D137" i="4"/>
  <c r="D141" i="4"/>
  <c r="D145" i="4"/>
  <c r="D147" i="4"/>
  <c r="D151" i="4"/>
  <c r="D155" i="4"/>
  <c r="D162" i="4"/>
  <c r="D173" i="4"/>
  <c r="D175" i="4"/>
  <c r="D178" i="4"/>
  <c r="D181" i="4"/>
  <c r="D183" i="4"/>
  <c r="D189" i="4"/>
  <c r="D194" i="4"/>
  <c r="D197" i="4"/>
  <c r="D203" i="4"/>
  <c r="D205" i="4"/>
  <c r="D209" i="4"/>
  <c r="D210" i="4"/>
  <c r="D211" i="4"/>
  <c r="D213" i="4"/>
  <c r="D214" i="4"/>
  <c r="D221" i="4"/>
  <c r="D226" i="4"/>
  <c r="D229" i="4"/>
  <c r="D237" i="4"/>
  <c r="D242" i="4"/>
  <c r="D243" i="4"/>
  <c r="D245" i="4"/>
  <c r="D253" i="4"/>
  <c r="D255" i="4"/>
  <c r="D261" i="4"/>
  <c r="D262" i="4"/>
  <c r="D265" i="4"/>
  <c r="D269" i="4"/>
  <c r="D275" i="4"/>
  <c r="D278" i="4"/>
  <c r="D291" i="4"/>
  <c r="D299" i="4"/>
  <c r="D5" i="4"/>
  <c r="D3" i="4"/>
  <c r="C3" i="4"/>
  <c r="C4" i="4"/>
  <c r="C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179" i="4"/>
  <c r="C180" i="4"/>
  <c r="C181" i="4"/>
  <c r="C182" i="4"/>
  <c r="C183" i="4"/>
  <c r="C184" i="4"/>
  <c r="C185" i="4"/>
  <c r="C186" i="4"/>
  <c r="C187" i="4"/>
  <c r="C188" i="4"/>
  <c r="C189" i="4"/>
  <c r="C190" i="4"/>
  <c r="C191" i="4"/>
  <c r="C192" i="4"/>
  <c r="C193" i="4"/>
  <c r="C194" i="4"/>
  <c r="C195" i="4"/>
  <c r="C196" i="4"/>
  <c r="C197" i="4"/>
  <c r="C198" i="4"/>
  <c r="C199" i="4"/>
  <c r="C200" i="4"/>
  <c r="C201" i="4"/>
  <c r="C202" i="4"/>
  <c r="C203" i="4"/>
  <c r="C204" i="4"/>
  <c r="C205" i="4"/>
  <c r="C206" i="4"/>
  <c r="C207" i="4"/>
  <c r="C208" i="4"/>
  <c r="C209" i="4"/>
  <c r="C210" i="4"/>
  <c r="C211" i="4"/>
  <c r="C212" i="4"/>
  <c r="C213" i="4"/>
  <c r="C214" i="4"/>
  <c r="C215" i="4"/>
  <c r="C216" i="4"/>
  <c r="C217" i="4"/>
  <c r="C218" i="4"/>
  <c r="C219" i="4"/>
  <c r="C220" i="4"/>
  <c r="C221" i="4"/>
  <c r="C222" i="4"/>
  <c r="C223" i="4"/>
  <c r="C224" i="4"/>
  <c r="C225" i="4"/>
  <c r="C226" i="4"/>
  <c r="C227" i="4"/>
  <c r="C228" i="4"/>
  <c r="C229" i="4"/>
  <c r="C230" i="4"/>
  <c r="C231" i="4"/>
  <c r="C232" i="4"/>
  <c r="C233" i="4"/>
  <c r="C234" i="4"/>
  <c r="C235" i="4"/>
  <c r="C236" i="4"/>
  <c r="C237" i="4"/>
  <c r="C238" i="4"/>
  <c r="C239" i="4"/>
  <c r="C240" i="4"/>
  <c r="C241" i="4"/>
  <c r="C242" i="4"/>
  <c r="C243" i="4"/>
  <c r="C244" i="4"/>
  <c r="C245" i="4"/>
  <c r="C246" i="4"/>
  <c r="C247" i="4"/>
  <c r="C248" i="4"/>
  <c r="C249" i="4"/>
  <c r="C250" i="4"/>
  <c r="C251" i="4"/>
  <c r="C252" i="4"/>
  <c r="C253" i="4"/>
  <c r="C254" i="4"/>
  <c r="C255" i="4"/>
  <c r="C256" i="4"/>
  <c r="C257" i="4"/>
  <c r="C258" i="4"/>
  <c r="C259" i="4"/>
  <c r="C260" i="4"/>
  <c r="C261" i="4"/>
  <c r="C262" i="4"/>
  <c r="C263" i="4"/>
  <c r="C264" i="4"/>
  <c r="C265" i="4"/>
  <c r="C266" i="4"/>
  <c r="C267" i="4"/>
  <c r="C268" i="4"/>
  <c r="C269" i="4"/>
  <c r="C270" i="4"/>
  <c r="C271" i="4"/>
  <c r="C272" i="4"/>
  <c r="C273" i="4"/>
  <c r="C274" i="4"/>
  <c r="C275" i="4"/>
  <c r="C276" i="4"/>
  <c r="C277" i="4"/>
  <c r="C278" i="4"/>
  <c r="C279" i="4"/>
  <c r="C280" i="4"/>
  <c r="C281" i="4"/>
  <c r="C282" i="4"/>
  <c r="C283" i="4"/>
  <c r="C284" i="4"/>
  <c r="C285" i="4"/>
  <c r="C286" i="4"/>
  <c r="C287" i="4"/>
  <c r="C288" i="4"/>
  <c r="C289" i="4"/>
  <c r="C290" i="4"/>
  <c r="C291" i="4"/>
  <c r="C292" i="4"/>
  <c r="C293" i="4"/>
  <c r="C294" i="4"/>
  <c r="C295" i="4"/>
  <c r="C296" i="4"/>
  <c r="C297" i="4"/>
  <c r="C298" i="4"/>
  <c r="C299" i="4"/>
  <c r="C300" i="4"/>
  <c r="C301" i="4"/>
  <c r="E3" i="3"/>
  <c r="E4" i="3"/>
  <c r="E5" i="3"/>
  <c r="E6" i="3"/>
  <c r="E2" i="3"/>
  <c r="D227" i="4" l="1"/>
  <c r="D215" i="4"/>
  <c r="D199" i="4"/>
  <c r="D191" i="4"/>
  <c r="D139" i="4"/>
  <c r="D168" i="4"/>
  <c r="D158" i="4"/>
  <c r="D106" i="4"/>
  <c r="D247" i="4"/>
  <c r="D179" i="4"/>
  <c r="D50" i="4"/>
  <c r="D43" i="4"/>
  <c r="D154" i="4"/>
  <c r="D302" i="4"/>
  <c r="D259" i="4"/>
  <c r="D235" i="4"/>
  <c r="D223" i="4"/>
  <c r="D195" i="4"/>
  <c r="D187" i="4"/>
  <c r="D161" i="4"/>
  <c r="D66" i="4"/>
  <c r="D92" i="4"/>
  <c r="D285" i="4"/>
  <c r="D171" i="4"/>
  <c r="D146" i="4"/>
  <c r="D107" i="4"/>
  <c r="D82" i="4"/>
  <c r="D71" i="4"/>
  <c r="D34" i="4"/>
  <c r="D281" i="4"/>
  <c r="D267" i="4"/>
  <c r="D167" i="4"/>
  <c r="D135" i="4"/>
  <c r="D114" i="4"/>
  <c r="D103" i="4"/>
  <c r="D61" i="4"/>
  <c r="D54" i="4"/>
  <c r="D18" i="4"/>
  <c r="D4" i="4"/>
  <c r="D163" i="4"/>
  <c r="D131" i="4"/>
  <c r="D121" i="4"/>
  <c r="D99" i="4"/>
  <c r="F295" i="4" a="1"/>
  <c r="F295" i="4" s="1"/>
  <c r="D6" i="4"/>
  <c r="D297" i="4"/>
  <c r="D289" i="4"/>
  <c r="D249" i="4"/>
  <c r="D198" i="4"/>
  <c r="D193" i="4"/>
  <c r="D185" i="4"/>
  <c r="D166" i="4"/>
  <c r="D159" i="4"/>
  <c r="D150" i="4"/>
  <c r="D143" i="4"/>
  <c r="D105" i="4"/>
  <c r="D89" i="4"/>
  <c r="D67" i="4"/>
  <c r="D22" i="4"/>
  <c r="D254" i="4"/>
  <c r="D222" i="4"/>
  <c r="D190" i="4"/>
  <c r="D62" i="4"/>
  <c r="D32" i="4"/>
  <c r="D14" i="4"/>
  <c r="F301" i="4" a="1"/>
  <c r="F301" i="4" s="1"/>
  <c r="F293" i="4" a="1"/>
  <c r="F293" i="4" s="1"/>
  <c r="D294" i="4"/>
  <c r="D257" i="4"/>
  <c r="D233" i="4"/>
  <c r="D217" i="4"/>
  <c r="D134" i="4"/>
  <c r="D127" i="4"/>
  <c r="D118" i="4"/>
  <c r="D111" i="4"/>
  <c r="D73" i="4"/>
  <c r="D53" i="4"/>
  <c r="D156" i="4"/>
  <c r="D30" i="4"/>
  <c r="D273" i="4"/>
  <c r="D246" i="4"/>
  <c r="D241" i="4"/>
  <c r="D230" i="4"/>
  <c r="D225" i="4"/>
  <c r="D201" i="4"/>
  <c r="D182" i="4"/>
  <c r="D177" i="4"/>
  <c r="D169" i="4"/>
  <c r="D153" i="4"/>
  <c r="D102" i="4"/>
  <c r="D95" i="4"/>
  <c r="D86" i="4"/>
  <c r="D79" i="4"/>
  <c r="D38" i="4"/>
  <c r="D238" i="4"/>
  <c r="D206" i="4"/>
  <c r="D174" i="4"/>
  <c r="D287" i="4"/>
  <c r="D279" i="4"/>
  <c r="D274" i="4"/>
  <c r="D165" i="4"/>
  <c r="D133" i="4"/>
  <c r="D101" i="4"/>
  <c r="D69" i="4"/>
  <c r="D270" i="4"/>
  <c r="F283" i="4" a="1"/>
  <c r="F283" i="4" s="1"/>
  <c r="D157" i="4"/>
  <c r="D125" i="4"/>
  <c r="D93" i="4"/>
  <c r="D298" i="4"/>
  <c r="D266" i="4"/>
  <c r="D290" i="4"/>
  <c r="D271" i="4"/>
  <c r="D263" i="4"/>
  <c r="D258" i="4"/>
  <c r="D251" i="4"/>
  <c r="D239" i="4"/>
  <c r="D231" i="4"/>
  <c r="D219" i="4"/>
  <c r="D207" i="4"/>
  <c r="D149" i="4"/>
  <c r="D117" i="4"/>
  <c r="D85" i="4"/>
  <c r="D286" i="4"/>
  <c r="D144" i="4"/>
  <c r="D132" i="4"/>
  <c r="D120" i="4"/>
  <c r="D108" i="4"/>
  <c r="D96" i="4"/>
  <c r="D84" i="4"/>
  <c r="D68" i="4"/>
  <c r="D300" i="4"/>
  <c r="D296" i="4"/>
  <c r="D292" i="4"/>
  <c r="D288" i="4"/>
  <c r="D284" i="4"/>
  <c r="D280" i="4"/>
  <c r="D276" i="4"/>
  <c r="D272" i="4"/>
  <c r="D268" i="4"/>
  <c r="D264" i="4"/>
  <c r="D260" i="4"/>
  <c r="D256" i="4"/>
  <c r="D252" i="4"/>
  <c r="D248" i="4"/>
  <c r="D244" i="4"/>
  <c r="D240" i="4"/>
  <c r="D236" i="4"/>
  <c r="D232" i="4"/>
  <c r="D228" i="4"/>
  <c r="D224" i="4"/>
  <c r="D220" i="4"/>
  <c r="D216" i="4"/>
  <c r="D212" i="4"/>
  <c r="D208" i="4"/>
  <c r="D204" i="4"/>
  <c r="D200" i="4"/>
  <c r="D196" i="4"/>
  <c r="D192" i="4"/>
  <c r="D188" i="4"/>
  <c r="D184" i="4"/>
  <c r="D180" i="4"/>
  <c r="D176" i="4"/>
  <c r="D172" i="4"/>
  <c r="D164" i="4"/>
  <c r="D160" i="4"/>
  <c r="D152" i="4"/>
  <c r="D140" i="4"/>
  <c r="D128" i="4"/>
  <c r="D116" i="4"/>
  <c r="D148" i="4"/>
  <c r="D112" i="4"/>
  <c r="D100" i="4"/>
  <c r="D88" i="4"/>
  <c r="D80" i="4"/>
  <c r="D76" i="4"/>
  <c r="D64" i="4"/>
  <c r="D56" i="4"/>
  <c r="D52" i="4"/>
  <c r="D48" i="4"/>
  <c r="D40" i="4"/>
  <c r="D36" i="4"/>
  <c r="D28" i="4"/>
  <c r="D24" i="4"/>
  <c r="D16" i="4"/>
  <c r="D12" i="4"/>
  <c r="D8"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D94AEE2-149B-4A5A-8C8D-95751D509E2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128D6D0F-6D7C-46FC-BA82-383D80AF6900}" name="WorksheetConnection_Business_Sales_Portfolio_Project.xlsx!Table1[[Order_Date]:[Revenue]]" type="102" refreshedVersion="8" minRefreshableVersion="5">
    <extLst>
      <ext xmlns:x15="http://schemas.microsoft.com/office/spreadsheetml/2010/11/main" uri="{DE250136-89BD-433C-8126-D09CA5730AF9}">
        <x15:connection id="Table1  Order_Date   Revenue">
          <x15:rangePr sourceName="_xlcn.WorksheetConnection_Business_Sales_Portfolio_Project.xlsxTable1Order_DateRevenue"/>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<sst xmlns="http://schemas.openxmlformats.org/spreadsheetml/2006/main" count="7283" uniqueCount="2157">
  <si>
    <t>Order_ID</t>
  </si>
  <si>
    <t>Order_Date</t>
  </si>
  <si>
    <t>Customer_ID</t>
  </si>
  <si>
    <t>Region</t>
  </si>
  <si>
    <t>Product</t>
  </si>
  <si>
    <t>Quantity</t>
  </si>
  <si>
    <t>Unit_Price</t>
  </si>
  <si>
    <t>Revenue</t>
  </si>
  <si>
    <t>ORD00001</t>
  </si>
  <si>
    <t>CUST277</t>
  </si>
  <si>
    <t>South</t>
  </si>
  <si>
    <t>Phone</t>
  </si>
  <si>
    <t>ORD00002</t>
  </si>
  <si>
    <t>CUST029</t>
  </si>
  <si>
    <t>Laptop</t>
  </si>
  <si>
    <t>ORD00003</t>
  </si>
  <si>
    <t>CUST215</t>
  </si>
  <si>
    <t>West</t>
  </si>
  <si>
    <t>ORD00004</t>
  </si>
  <si>
    <t>CUST179</t>
  </si>
  <si>
    <t>North</t>
  </si>
  <si>
    <t>ORD00005</t>
  </si>
  <si>
    <t>CUST107</t>
  </si>
  <si>
    <t>ORD00006</t>
  </si>
  <si>
    <t>CUST018</t>
  </si>
  <si>
    <t>Monitor</t>
  </si>
  <si>
    <t>ORD00007</t>
  </si>
  <si>
    <t>East</t>
  </si>
  <si>
    <t>ORD00008</t>
  </si>
  <si>
    <t>CUST044</t>
  </si>
  <si>
    <t>ORD00009</t>
  </si>
  <si>
    <t>CUST020</t>
  </si>
  <si>
    <t>Tablet</t>
  </si>
  <si>
    <t>ORD00010</t>
  </si>
  <si>
    <t>CUST202</t>
  </si>
  <si>
    <t>Headphones</t>
  </si>
  <si>
    <t>ORD00011</t>
  </si>
  <si>
    <t>CUST218</t>
  </si>
  <si>
    <t>ORD00012</t>
  </si>
  <si>
    <t>CUST185</t>
  </si>
  <si>
    <t>ORD00013</t>
  </si>
  <si>
    <t>CUST233</t>
  </si>
  <si>
    <t>ORD00014</t>
  </si>
  <si>
    <t>CUST196</t>
  </si>
  <si>
    <t>ORD00015</t>
  </si>
  <si>
    <t>CUST173</t>
  </si>
  <si>
    <t>ORD00016</t>
  </si>
  <si>
    <t>CUST186</t>
  </si>
  <si>
    <t>ORD00017</t>
  </si>
  <si>
    <t>CUST297</t>
  </si>
  <si>
    <t>ORD00018</t>
  </si>
  <si>
    <t>CUST043</t>
  </si>
  <si>
    <t>ORD00019</t>
  </si>
  <si>
    <t>CUST160</t>
  </si>
  <si>
    <t>ORD00020</t>
  </si>
  <si>
    <t>CUST269</t>
  </si>
  <si>
    <t>ORD00021</t>
  </si>
  <si>
    <t>CUST251</t>
  </si>
  <si>
    <t>ORD00022</t>
  </si>
  <si>
    <t>CUST066</t>
  </si>
  <si>
    <t>ORD00023</t>
  </si>
  <si>
    <t>CUST272</t>
  </si>
  <si>
    <t>ORD00024</t>
  </si>
  <si>
    <t>CUST292</t>
  </si>
  <si>
    <t>ORD00025</t>
  </si>
  <si>
    <t>CUST256</t>
  </si>
  <si>
    <t>ORD00026</t>
  </si>
  <si>
    <t>CUST113</t>
  </si>
  <si>
    <t>ORD00027</t>
  </si>
  <si>
    <t>CUST271</t>
  </si>
  <si>
    <t>ORD00028</t>
  </si>
  <si>
    <t>CUST244</t>
  </si>
  <si>
    <t>ORD00029</t>
  </si>
  <si>
    <t>CUST110</t>
  </si>
  <si>
    <t>ORD00030</t>
  </si>
  <si>
    <t>ORD00031</t>
  </si>
  <si>
    <t>CUST245</t>
  </si>
  <si>
    <t>ORD00032</t>
  </si>
  <si>
    <t>CUST174</t>
  </si>
  <si>
    <t>ORD00033</t>
  </si>
  <si>
    <t>CUST003</t>
  </si>
  <si>
    <t>ORD00034</t>
  </si>
  <si>
    <t>CUST024</t>
  </si>
  <si>
    <t>ORD00035</t>
  </si>
  <si>
    <t>CUST102</t>
  </si>
  <si>
    <t>ORD00036</t>
  </si>
  <si>
    <t>CUST046</t>
  </si>
  <si>
    <t>ORD00037</t>
  </si>
  <si>
    <t>CUST059</t>
  </si>
  <si>
    <t>ORD00038</t>
  </si>
  <si>
    <t>CUST095</t>
  </si>
  <si>
    <t>ORD00039</t>
  </si>
  <si>
    <t>CUST255</t>
  </si>
  <si>
    <t>ORD00040</t>
  </si>
  <si>
    <t>CUST298</t>
  </si>
  <si>
    <t>ORD00041</t>
  </si>
  <si>
    <t>CUST006</t>
  </si>
  <si>
    <t>ORD00042</t>
  </si>
  <si>
    <t>CUST109</t>
  </si>
  <si>
    <t>ORD00043</t>
  </si>
  <si>
    <t>CUST247</t>
  </si>
  <si>
    <t>ORD00044</t>
  </si>
  <si>
    <t>CUST234</t>
  </si>
  <si>
    <t>ORD00045</t>
  </si>
  <si>
    <t>CUST056</t>
  </si>
  <si>
    <t>ORD00046</t>
  </si>
  <si>
    <t>CUST115</t>
  </si>
  <si>
    <t>ORD00047</t>
  </si>
  <si>
    <t>ORD00048</t>
  </si>
  <si>
    <t>CUST041</t>
  </si>
  <si>
    <t>ORD00049</t>
  </si>
  <si>
    <t>CUST136</t>
  </si>
  <si>
    <t>ORD00050</t>
  </si>
  <si>
    <t>CUST259</t>
  </si>
  <si>
    <t>ORD00051</t>
  </si>
  <si>
    <t>CUST105</t>
  </si>
  <si>
    <t>ORD00052</t>
  </si>
  <si>
    <t>CUST122</t>
  </si>
  <si>
    <t>ORD00053</t>
  </si>
  <si>
    <t>CUST263</t>
  </si>
  <si>
    <t>ORD00054</t>
  </si>
  <si>
    <t>CUST299</t>
  </si>
  <si>
    <t>ORD00055</t>
  </si>
  <si>
    <t>CUST037</t>
  </si>
  <si>
    <t>ORD00056</t>
  </si>
  <si>
    <t>CUST222</t>
  </si>
  <si>
    <t>ORD00057</t>
  </si>
  <si>
    <t>ORD00058</t>
  </si>
  <si>
    <t>CUST128</t>
  </si>
  <si>
    <t>ORD00059</t>
  </si>
  <si>
    <t>CUST261</t>
  </si>
  <si>
    <t>ORD00060</t>
  </si>
  <si>
    <t>CUST280</t>
  </si>
  <si>
    <t>ORD00061</t>
  </si>
  <si>
    <t>CUST189</t>
  </si>
  <si>
    <t>ORD00062</t>
  </si>
  <si>
    <t>CUST282</t>
  </si>
  <si>
    <t>ORD00063</t>
  </si>
  <si>
    <t>CUST010</t>
  </si>
  <si>
    <t>ORD00064</t>
  </si>
  <si>
    <t>CUST004</t>
  </si>
  <si>
    <t>ORD00065</t>
  </si>
  <si>
    <t>CUST163</t>
  </si>
  <si>
    <t>ORD00066</t>
  </si>
  <si>
    <t>CUST028</t>
  </si>
  <si>
    <t>ORD00067</t>
  </si>
  <si>
    <t>CUST008</t>
  </si>
  <si>
    <t>ORD00068</t>
  </si>
  <si>
    <t>CUST190</t>
  </si>
  <si>
    <t>ORD00069</t>
  </si>
  <si>
    <t>CUST239</t>
  </si>
  <si>
    <t>ORD00070</t>
  </si>
  <si>
    <t>CUST099</t>
  </si>
  <si>
    <t>ORD00071</t>
  </si>
  <si>
    <t>CUST093</t>
  </si>
  <si>
    <t>ORD00072</t>
  </si>
  <si>
    <t>CUST236</t>
  </si>
  <si>
    <t>ORD00073</t>
  </si>
  <si>
    <t>CUST203</t>
  </si>
  <si>
    <t>ORD00074</t>
  </si>
  <si>
    <t>ORD00075</t>
  </si>
  <si>
    <t>CUST290</t>
  </si>
  <si>
    <t>ORD00076</t>
  </si>
  <si>
    <t>CUST195</t>
  </si>
  <si>
    <t>ORD00077</t>
  </si>
  <si>
    <t>ORD00078</t>
  </si>
  <si>
    <t>CUST287</t>
  </si>
  <si>
    <t>ORD00079</t>
  </si>
  <si>
    <t>ORD00080</t>
  </si>
  <si>
    <t>CUST252</t>
  </si>
  <si>
    <t>ORD00081</t>
  </si>
  <si>
    <t>CUST001</t>
  </si>
  <si>
    <t>ORD00082</t>
  </si>
  <si>
    <t>CUST073</t>
  </si>
  <si>
    <t>ORD00083</t>
  </si>
  <si>
    <t>CUST192</t>
  </si>
  <si>
    <t>ORD00084</t>
  </si>
  <si>
    <t>CUST075</t>
  </si>
  <si>
    <t>ORD00085</t>
  </si>
  <si>
    <t>CUST030</t>
  </si>
  <si>
    <t>ORD00086</t>
  </si>
  <si>
    <t>CUST164</t>
  </si>
  <si>
    <t>ORD00087</t>
  </si>
  <si>
    <t>CUST198</t>
  </si>
  <si>
    <t>ORD00088</t>
  </si>
  <si>
    <t>CUST038</t>
  </si>
  <si>
    <t>ORD00089</t>
  </si>
  <si>
    <t>CUST300</t>
  </si>
  <si>
    <t>ORD00090</t>
  </si>
  <si>
    <t>CUST090</t>
  </si>
  <si>
    <t>ORD00091</t>
  </si>
  <si>
    <t>CUST294</t>
  </si>
  <si>
    <t>ORD00092</t>
  </si>
  <si>
    <t>ORD00093</t>
  </si>
  <si>
    <t>CUST211</t>
  </si>
  <si>
    <t>ORD00094</t>
  </si>
  <si>
    <t>ORD00095</t>
  </si>
  <si>
    <t>CUST267</t>
  </si>
  <si>
    <t>ORD00096</t>
  </si>
  <si>
    <t>CUST034</t>
  </si>
  <si>
    <t>ORD00097</t>
  </si>
  <si>
    <t>CUST248</t>
  </si>
  <si>
    <t>ORD00098</t>
  </si>
  <si>
    <t>ORD00099</t>
  </si>
  <si>
    <t>ORD00100</t>
  </si>
  <si>
    <t>ORD00101</t>
  </si>
  <si>
    <t>CUST007</t>
  </si>
  <si>
    <t>ORD00102</t>
  </si>
  <si>
    <t>ORD00103</t>
  </si>
  <si>
    <t>CUST116</t>
  </si>
  <si>
    <t>ORD00104</t>
  </si>
  <si>
    <t>CUST089</t>
  </si>
  <si>
    <t>ORD00105</t>
  </si>
  <si>
    <t>ORD00106</t>
  </si>
  <si>
    <t>CUST157</t>
  </si>
  <si>
    <t>ORD00107</t>
  </si>
  <si>
    <t>CUST100</t>
  </si>
  <si>
    <t>ORD00108</t>
  </si>
  <si>
    <t>ORD00109</t>
  </si>
  <si>
    <t>CUST023</t>
  </si>
  <si>
    <t>ORD00110</t>
  </si>
  <si>
    <t>CUST067</t>
  </si>
  <si>
    <t>ORD00111</t>
  </si>
  <si>
    <t>CUST055</t>
  </si>
  <si>
    <t>ORD00112</t>
  </si>
  <si>
    <t>ORD00113</t>
  </si>
  <si>
    <t>CUST144</t>
  </si>
  <si>
    <t>ORD00114</t>
  </si>
  <si>
    <t>CUST246</t>
  </si>
  <si>
    <t>ORD00115</t>
  </si>
  <si>
    <t>CUST170</t>
  </si>
  <si>
    <t>ORD00116</t>
  </si>
  <si>
    <t>CUST068</t>
  </si>
  <si>
    <t>ORD00117</t>
  </si>
  <si>
    <t>CUST172</t>
  </si>
  <si>
    <t>ORD00118</t>
  </si>
  <si>
    <t>CUST273</t>
  </si>
  <si>
    <t>ORD00119</t>
  </si>
  <si>
    <t>CUST176</t>
  </si>
  <si>
    <t>ORD00120</t>
  </si>
  <si>
    <t>CUST126</t>
  </si>
  <si>
    <t>ORD00121</t>
  </si>
  <si>
    <t>ORD00122</t>
  </si>
  <si>
    <t>ORD00123</t>
  </si>
  <si>
    <t>ORD00124</t>
  </si>
  <si>
    <t>ORD00125</t>
  </si>
  <si>
    <t>CUST155</t>
  </si>
  <si>
    <t>ORD00126</t>
  </si>
  <si>
    <t>CUST168</t>
  </si>
  <si>
    <t>ORD00127</t>
  </si>
  <si>
    <t>ORD00128</t>
  </si>
  <si>
    <t>ORD00129</t>
  </si>
  <si>
    <t>CUST288</t>
  </si>
  <si>
    <t>ORD00130</t>
  </si>
  <si>
    <t>CUST191</t>
  </si>
  <si>
    <t>ORD00131</t>
  </si>
  <si>
    <t>CUST151</t>
  </si>
  <si>
    <t>ORD00132</t>
  </si>
  <si>
    <t>CUST140</t>
  </si>
  <si>
    <t>ORD00133</t>
  </si>
  <si>
    <t>ORD00134</t>
  </si>
  <si>
    <t>CUST167</t>
  </si>
  <si>
    <t>ORD00135</t>
  </si>
  <si>
    <t>CUST153</t>
  </si>
  <si>
    <t>ORD00136</t>
  </si>
  <si>
    <t>ORD00137</t>
  </si>
  <si>
    <t>CUST125</t>
  </si>
  <si>
    <t>ORD00138</t>
  </si>
  <si>
    <t>CUST221</t>
  </si>
  <si>
    <t>ORD00139</t>
  </si>
  <si>
    <t>CUST161</t>
  </si>
  <si>
    <t>ORD00140</t>
  </si>
  <si>
    <t>CUST033</t>
  </si>
  <si>
    <t>ORD00141</t>
  </si>
  <si>
    <t>ORD00142</t>
  </si>
  <si>
    <t>ORD00143</t>
  </si>
  <si>
    <t>CUST145</t>
  </si>
  <si>
    <t>ORD00144</t>
  </si>
  <si>
    <t>CUST035</t>
  </si>
  <si>
    <t>ORD00145</t>
  </si>
  <si>
    <t>ORD00146</t>
  </si>
  <si>
    <t>ORD00147</t>
  </si>
  <si>
    <t>CUST086</t>
  </si>
  <si>
    <t>ORD00148</t>
  </si>
  <si>
    <t>CUST016</t>
  </si>
  <si>
    <t>ORD00149</t>
  </si>
  <si>
    <t>CUST092</t>
  </si>
  <si>
    <t>ORD00150</t>
  </si>
  <si>
    <t>ORD00151</t>
  </si>
  <si>
    <t>CUST158</t>
  </si>
  <si>
    <t>ORD00152</t>
  </si>
  <si>
    <t>ORD00153</t>
  </si>
  <si>
    <t>CUST022</t>
  </si>
  <si>
    <t>ORD00154</t>
  </si>
  <si>
    <t>CUST096</t>
  </si>
  <si>
    <t>ORD00155</t>
  </si>
  <si>
    <t>ORD00156</t>
  </si>
  <si>
    <t>ORD00157</t>
  </si>
  <si>
    <t>CUST048</t>
  </si>
  <si>
    <t>ORD00158</t>
  </si>
  <si>
    <t>CUST012</t>
  </si>
  <si>
    <t>ORD00159</t>
  </si>
  <si>
    <t>CUST139</t>
  </si>
  <si>
    <t>ORD00160</t>
  </si>
  <si>
    <t>CUST229</t>
  </si>
  <si>
    <t>ORD00161</t>
  </si>
  <si>
    <t>CUST027</t>
  </si>
  <si>
    <t>ORD00162</t>
  </si>
  <si>
    <t>ORD00163</t>
  </si>
  <si>
    <t>CUST054</t>
  </si>
  <si>
    <t>ORD00164</t>
  </si>
  <si>
    <t>ORD00165</t>
  </si>
  <si>
    <t>ORD00166</t>
  </si>
  <si>
    <t>CUST250</t>
  </si>
  <si>
    <t>ORD00167</t>
  </si>
  <si>
    <t>CUST071</t>
  </si>
  <si>
    <t>ORD00168</t>
  </si>
  <si>
    <t>ORD00169</t>
  </si>
  <si>
    <t>ORD00170</t>
  </si>
  <si>
    <t>ORD00171</t>
  </si>
  <si>
    <t>CUST194</t>
  </si>
  <si>
    <t>ORD00172</t>
  </si>
  <si>
    <t>CUST283</t>
  </si>
  <si>
    <t>ORD00173</t>
  </si>
  <si>
    <t>CUST187</t>
  </si>
  <si>
    <t>ORD00174</t>
  </si>
  <si>
    <t>CUST212</t>
  </si>
  <si>
    <t>ORD00175</t>
  </si>
  <si>
    <t>CUST225</t>
  </si>
  <si>
    <t>ORD00176</t>
  </si>
  <si>
    <t>CUST291</t>
  </si>
  <si>
    <t>ORD00177</t>
  </si>
  <si>
    <t>CUST142</t>
  </si>
  <si>
    <t>ORD00178</t>
  </si>
  <si>
    <t>CUST085</t>
  </si>
  <si>
    <t>ORD00179</t>
  </si>
  <si>
    <t>CUST253</t>
  </si>
  <si>
    <t>ORD00180</t>
  </si>
  <si>
    <t>CUST120</t>
  </si>
  <si>
    <t>ORD00181</t>
  </si>
  <si>
    <t>ORD00182</t>
  </si>
  <si>
    <t>ORD00183</t>
  </si>
  <si>
    <t>ORD00184</t>
  </si>
  <si>
    <t>CUST118</t>
  </si>
  <si>
    <t>ORD00185</t>
  </si>
  <si>
    <t>CUST279</t>
  </si>
  <si>
    <t>ORD00186</t>
  </si>
  <si>
    <t>ORD00187</t>
  </si>
  <si>
    <t>CUST240</t>
  </si>
  <si>
    <t>ORD00188</t>
  </si>
  <si>
    <t>CUST200</t>
  </si>
  <si>
    <t>ORD00189</t>
  </si>
  <si>
    <t>CUST134</t>
  </si>
  <si>
    <t>ORD00190</t>
  </si>
  <si>
    <t>CUST013</t>
  </si>
  <si>
    <t>ORD00191</t>
  </si>
  <si>
    <t>CUST087</t>
  </si>
  <si>
    <t>ORD00192</t>
  </si>
  <si>
    <t>CUST039</t>
  </si>
  <si>
    <t>ORD00193</t>
  </si>
  <si>
    <t>CUST238</t>
  </si>
  <si>
    <t>ORD00194</t>
  </si>
  <si>
    <t>CUST254</t>
  </si>
  <si>
    <t>ORD00195</t>
  </si>
  <si>
    <t>CUST183</t>
  </si>
  <si>
    <t>ORD00196</t>
  </si>
  <si>
    <t>ORD00197</t>
  </si>
  <si>
    <t>CUST036</t>
  </si>
  <si>
    <t>ORD00198</t>
  </si>
  <si>
    <t>CUST270</t>
  </si>
  <si>
    <t>ORD00199</t>
  </si>
  <si>
    <t>CUST274</t>
  </si>
  <si>
    <t>ORD00200</t>
  </si>
  <si>
    <t>CUST057</t>
  </si>
  <si>
    <t>ORD00201</t>
  </si>
  <si>
    <t>CUST219</t>
  </si>
  <si>
    <t>ORD00202</t>
  </si>
  <si>
    <t>CUST112</t>
  </si>
  <si>
    <t>ORD00203</t>
  </si>
  <si>
    <t>ORD00204</t>
  </si>
  <si>
    <t>CUST162</t>
  </si>
  <si>
    <t>ORD00205</t>
  </si>
  <si>
    <t>CUST201</t>
  </si>
  <si>
    <t>ORD00206</t>
  </si>
  <si>
    <t>CUST197</t>
  </si>
  <si>
    <t>ORD00207</t>
  </si>
  <si>
    <t>ORD00208</t>
  </si>
  <si>
    <t>ORD00209</t>
  </si>
  <si>
    <t>ORD00210</t>
  </si>
  <si>
    <t>CUST184</t>
  </si>
  <si>
    <t>ORD00211</t>
  </si>
  <si>
    <t>ORD00212</t>
  </si>
  <si>
    <t>ORD00213</t>
  </si>
  <si>
    <t>CUST231</t>
  </si>
  <si>
    <t>ORD00214</t>
  </si>
  <si>
    <t>ORD00215</t>
  </si>
  <si>
    <t>CUST081</t>
  </si>
  <si>
    <t>ORD00216</t>
  </si>
  <si>
    <t>CUST094</t>
  </si>
  <si>
    <t>ORD00217</t>
  </si>
  <si>
    <t>ORD00218</t>
  </si>
  <si>
    <t>CUST262</t>
  </si>
  <si>
    <t>ORD00219</t>
  </si>
  <si>
    <t>ORD00220</t>
  </si>
  <si>
    <t>CUST147</t>
  </si>
  <si>
    <t>ORD00221</t>
  </si>
  <si>
    <t>CUST123</t>
  </si>
  <si>
    <t>ORD00222</t>
  </si>
  <si>
    <t>ORD00223</t>
  </si>
  <si>
    <t>ORD00224</t>
  </si>
  <si>
    <t>ORD00225</t>
  </si>
  <si>
    <t>ORD00226</t>
  </si>
  <si>
    <t>ORD00227</t>
  </si>
  <si>
    <t>CUST207</t>
  </si>
  <si>
    <t>ORD00228</t>
  </si>
  <si>
    <t>ORD00229</t>
  </si>
  <si>
    <t>ORD00230</t>
  </si>
  <si>
    <t>CUST117</t>
  </si>
  <si>
    <t>ORD00231</t>
  </si>
  <si>
    <t>ORD00232</t>
  </si>
  <si>
    <t>CUST079</t>
  </si>
  <si>
    <t>ORD00233</t>
  </si>
  <si>
    <t>ORD00234</t>
  </si>
  <si>
    <t>ORD00235</t>
  </si>
  <si>
    <t>ORD00236</t>
  </si>
  <si>
    <t>CUST098</t>
  </si>
  <si>
    <t>ORD00237</t>
  </si>
  <si>
    <t>CUST208</t>
  </si>
  <si>
    <t>ORD00238</t>
  </si>
  <si>
    <t>CUST062</t>
  </si>
  <si>
    <t>ORD00239</t>
  </si>
  <si>
    <t>ORD00240</t>
  </si>
  <si>
    <t>CUST009</t>
  </si>
  <si>
    <t>ORD00241</t>
  </si>
  <si>
    <t>ORD00242</t>
  </si>
  <si>
    <t>CUST268</t>
  </si>
  <si>
    <t>ORD00243</t>
  </si>
  <si>
    <t>CUST064</t>
  </si>
  <si>
    <t>ORD00244</t>
  </si>
  <si>
    <t>CUST084</t>
  </si>
  <si>
    <t>ORD00245</t>
  </si>
  <si>
    <t>ORD00246</t>
  </si>
  <si>
    <t>CUST002</t>
  </si>
  <si>
    <t>ORD00247</t>
  </si>
  <si>
    <t>CUST226</t>
  </si>
  <si>
    <t>ORD00248</t>
  </si>
  <si>
    <t>CUST241</t>
  </si>
  <si>
    <t>ORD00249</t>
  </si>
  <si>
    <t>ORD00250</t>
  </si>
  <si>
    <t>CUST106</t>
  </si>
  <si>
    <t>ORD00251</t>
  </si>
  <si>
    <t>ORD00252</t>
  </si>
  <si>
    <t>CUST072</t>
  </si>
  <si>
    <t>ORD00253</t>
  </si>
  <si>
    <t>CUST214</t>
  </si>
  <si>
    <t>ORD00254</t>
  </si>
  <si>
    <t>CUST049</t>
  </si>
  <si>
    <t>ORD00255</t>
  </si>
  <si>
    <t>ORD00256</t>
  </si>
  <si>
    <t>CUST127</t>
  </si>
  <si>
    <t>ORD00257</t>
  </si>
  <si>
    <t>ORD00258</t>
  </si>
  <si>
    <t>ORD00259</t>
  </si>
  <si>
    <t>CUST103</t>
  </si>
  <si>
    <t>ORD00260</t>
  </si>
  <si>
    <t>ORD00261</t>
  </si>
  <si>
    <t>ORD00262</t>
  </si>
  <si>
    <t>ORD00263</t>
  </si>
  <si>
    <t>CUST026</t>
  </si>
  <si>
    <t>ORD00264</t>
  </si>
  <si>
    <t>ORD00265</t>
  </si>
  <si>
    <t>CUST171</t>
  </si>
  <si>
    <t>ORD00266</t>
  </si>
  <si>
    <t>CUST076</t>
  </si>
  <si>
    <t>ORD00267</t>
  </si>
  <si>
    <t>ORD00268</t>
  </si>
  <si>
    <t>ORD00269</t>
  </si>
  <si>
    <t>CUST220</t>
  </si>
  <si>
    <t>ORD00270</t>
  </si>
  <si>
    <t>ORD00271</t>
  </si>
  <si>
    <t>CUST181</t>
  </si>
  <si>
    <t>ORD00272</t>
  </si>
  <si>
    <t>ORD00273</t>
  </si>
  <si>
    <t>ORD00274</t>
  </si>
  <si>
    <t>CUST150</t>
  </si>
  <si>
    <t>ORD00275</t>
  </si>
  <si>
    <t>ORD00276</t>
  </si>
  <si>
    <t>ORD00277</t>
  </si>
  <si>
    <t>ORD00278</t>
  </si>
  <si>
    <t>ORD00279</t>
  </si>
  <si>
    <t>CUST069</t>
  </si>
  <si>
    <t>ORD00280</t>
  </si>
  <si>
    <t>ORD00281</t>
  </si>
  <si>
    <t>ORD00282</t>
  </si>
  <si>
    <t>CUST230</t>
  </si>
  <si>
    <t>ORD00283</t>
  </si>
  <si>
    <t>ORD00284</t>
  </si>
  <si>
    <t>ORD00285</t>
  </si>
  <si>
    <t>ORD00286</t>
  </si>
  <si>
    <t>CUST156</t>
  </si>
  <si>
    <t>ORD00287</t>
  </si>
  <si>
    <t>ORD00288</t>
  </si>
  <si>
    <t>ORD00289</t>
  </si>
  <si>
    <t>ORD00290</t>
  </si>
  <si>
    <t>CUST209</t>
  </si>
  <si>
    <t>ORD00291</t>
  </si>
  <si>
    <t>ORD00292</t>
  </si>
  <si>
    <t>ORD00293</t>
  </si>
  <si>
    <t>ORD00294</t>
  </si>
  <si>
    <t>ORD00295</t>
  </si>
  <si>
    <t>ORD00296</t>
  </si>
  <si>
    <t>ORD00297</t>
  </si>
  <si>
    <t>ORD00298</t>
  </si>
  <si>
    <t>ORD00299</t>
  </si>
  <si>
    <t>ORD00300</t>
  </si>
  <si>
    <t>ORD00301</t>
  </si>
  <si>
    <t>ORD00302</t>
  </si>
  <si>
    <t>ORD00303</t>
  </si>
  <si>
    <t>ORD00304</t>
  </si>
  <si>
    <t>ORD00305</t>
  </si>
  <si>
    <t>ORD00306</t>
  </si>
  <si>
    <t>ORD00307</t>
  </si>
  <si>
    <t>ORD00308</t>
  </si>
  <si>
    <t>ORD00309</t>
  </si>
  <si>
    <t>ORD00310</t>
  </si>
  <si>
    <t>ORD00311</t>
  </si>
  <si>
    <t>ORD00312</t>
  </si>
  <si>
    <t>CUST146</t>
  </si>
  <si>
    <t>ORD00313</t>
  </si>
  <si>
    <t>CUST227</t>
  </si>
  <si>
    <t>ORD00314</t>
  </si>
  <si>
    <t>CUST114</t>
  </si>
  <si>
    <t>ORD00315</t>
  </si>
  <si>
    <t>ORD00316</t>
  </si>
  <si>
    <t>ORD00317</t>
  </si>
  <si>
    <t>ORD00318</t>
  </si>
  <si>
    <t>ORD00319</t>
  </si>
  <si>
    <t>ORD00320</t>
  </si>
  <si>
    <t>CUST235</t>
  </si>
  <si>
    <t>ORD00321</t>
  </si>
  <si>
    <t>ORD00322</t>
  </si>
  <si>
    <t>CUST213</t>
  </si>
  <si>
    <t>ORD00323</t>
  </si>
  <si>
    <t>ORD00324</t>
  </si>
  <si>
    <t>CUST177</t>
  </si>
  <si>
    <t>ORD00325</t>
  </si>
  <si>
    <t>ORD00326</t>
  </si>
  <si>
    <t>CUST199</t>
  </si>
  <si>
    <t>ORD00327</t>
  </si>
  <si>
    <t>ORD00328</t>
  </si>
  <si>
    <t>ORD00329</t>
  </si>
  <si>
    <t>CUST286</t>
  </si>
  <si>
    <t>ORD00330</t>
  </si>
  <si>
    <t>CUST080</t>
  </si>
  <si>
    <t>ORD00331</t>
  </si>
  <si>
    <t>ORD00332</t>
  </si>
  <si>
    <t>ORD00333</t>
  </si>
  <si>
    <t>ORD00334</t>
  </si>
  <si>
    <t>CUST166</t>
  </si>
  <si>
    <t>ORD00335</t>
  </si>
  <si>
    <t>CUST296</t>
  </si>
  <si>
    <t>ORD00336</t>
  </si>
  <si>
    <t>CUST017</t>
  </si>
  <si>
    <t>ORD00337</t>
  </si>
  <si>
    <t>ORD00338</t>
  </si>
  <si>
    <t>ORD00339</t>
  </si>
  <si>
    <t>CUST104</t>
  </si>
  <si>
    <t>ORD00340</t>
  </si>
  <si>
    <t>ORD00341</t>
  </si>
  <si>
    <t>ORD00342</t>
  </si>
  <si>
    <t>CUST124</t>
  </si>
  <si>
    <t>ORD00343</t>
  </si>
  <si>
    <t>ORD00344</t>
  </si>
  <si>
    <t>ORD00345</t>
  </si>
  <si>
    <t>CUST111</t>
  </si>
  <si>
    <t>ORD00346</t>
  </si>
  <si>
    <t>ORD00347</t>
  </si>
  <si>
    <t>ORD00348</t>
  </si>
  <si>
    <t>ORD00349</t>
  </si>
  <si>
    <t>ORD00350</t>
  </si>
  <si>
    <t>CUST042</t>
  </si>
  <si>
    <t>ORD00351</t>
  </si>
  <si>
    <t>ORD00352</t>
  </si>
  <si>
    <t>CUST015</t>
  </si>
  <si>
    <t>ORD00353</t>
  </si>
  <si>
    <t>ORD00354</t>
  </si>
  <si>
    <t>ORD00355</t>
  </si>
  <si>
    <t>ORD00356</t>
  </si>
  <si>
    <t>ORD00357</t>
  </si>
  <si>
    <t>CUST293</t>
  </si>
  <si>
    <t>ORD00358</t>
  </si>
  <si>
    <t>ORD00359</t>
  </si>
  <si>
    <t>ORD00360</t>
  </si>
  <si>
    <t>ORD00361</t>
  </si>
  <si>
    <t>CUST078</t>
  </si>
  <si>
    <t>ORD00362</t>
  </si>
  <si>
    <t>ORD00363</t>
  </si>
  <si>
    <t>ORD00364</t>
  </si>
  <si>
    <t>CUST295</t>
  </si>
  <si>
    <t>ORD00365</t>
  </si>
  <si>
    <t>CUST188</t>
  </si>
  <si>
    <t>ORD00366</t>
  </si>
  <si>
    <t>ORD00367</t>
  </si>
  <si>
    <t>CUST025</t>
  </si>
  <si>
    <t>ORD00368</t>
  </si>
  <si>
    <t>CUST121</t>
  </si>
  <si>
    <t>ORD00369</t>
  </si>
  <si>
    <t>CUST228</t>
  </si>
  <si>
    <t>ORD00370</t>
  </si>
  <si>
    <t>ORD00371</t>
  </si>
  <si>
    <t>ORD00372</t>
  </si>
  <si>
    <t>ORD00373</t>
  </si>
  <si>
    <t>ORD00374</t>
  </si>
  <si>
    <t>ORD00375</t>
  </si>
  <si>
    <t>CUST169</t>
  </si>
  <si>
    <t>ORD00376</t>
  </si>
  <si>
    <t>ORD00377</t>
  </si>
  <si>
    <t>ORD00378</t>
  </si>
  <si>
    <t>CUST285</t>
  </si>
  <si>
    <t>ORD00379</t>
  </si>
  <si>
    <t>ORD00380</t>
  </si>
  <si>
    <t>ORD00381</t>
  </si>
  <si>
    <t>ORD00382</t>
  </si>
  <si>
    <t>ORD00383</t>
  </si>
  <si>
    <t>ORD00384</t>
  </si>
  <si>
    <t>ORD00385</t>
  </si>
  <si>
    <t>ORD00386</t>
  </si>
  <si>
    <t>ORD00387</t>
  </si>
  <si>
    <t>ORD00388</t>
  </si>
  <si>
    <t>ORD00389</t>
  </si>
  <si>
    <t>ORD00390</t>
  </si>
  <si>
    <t>ORD00391</t>
  </si>
  <si>
    <t>ORD00392</t>
  </si>
  <si>
    <t>CUST275</t>
  </si>
  <si>
    <t>ORD00393</t>
  </si>
  <si>
    <t>ORD00394</t>
  </si>
  <si>
    <t>ORD00395</t>
  </si>
  <si>
    <t>ORD00396</t>
  </si>
  <si>
    <t>ORD00397</t>
  </si>
  <si>
    <t>ORD00398</t>
  </si>
  <si>
    <t>ORD00399</t>
  </si>
  <si>
    <t>ORD00400</t>
  </si>
  <si>
    <t>CUST132</t>
  </si>
  <si>
    <t>ORD00401</t>
  </si>
  <si>
    <t>CUST148</t>
  </si>
  <si>
    <t>ORD00402</t>
  </si>
  <si>
    <t>ORD00403</t>
  </si>
  <si>
    <t>CUST045</t>
  </si>
  <si>
    <t>ORD00404</t>
  </si>
  <si>
    <t>ORD00405</t>
  </si>
  <si>
    <t>ORD00406</t>
  </si>
  <si>
    <t>ORD00407</t>
  </si>
  <si>
    <t>CUST152</t>
  </si>
  <si>
    <t>ORD00408</t>
  </si>
  <si>
    <t>ORD00409</t>
  </si>
  <si>
    <t>ORD00410</t>
  </si>
  <si>
    <t>ORD00411</t>
  </si>
  <si>
    <t>CUST070</t>
  </si>
  <si>
    <t>ORD00412</t>
  </si>
  <si>
    <t>ORD00413</t>
  </si>
  <si>
    <t>ORD00414</t>
  </si>
  <si>
    <t>ORD00415</t>
  </si>
  <si>
    <t>ORD00416</t>
  </si>
  <si>
    <t>CUST180</t>
  </si>
  <si>
    <t>ORD00417</t>
  </si>
  <si>
    <t>ORD00418</t>
  </si>
  <si>
    <t>ORD00419</t>
  </si>
  <si>
    <t>ORD00420</t>
  </si>
  <si>
    <t>ORD00421</t>
  </si>
  <si>
    <t>ORD00422</t>
  </si>
  <si>
    <t>ORD00423</t>
  </si>
  <si>
    <t>CUST216</t>
  </si>
  <si>
    <t>ORD00424</t>
  </si>
  <si>
    <t>ORD00425</t>
  </si>
  <si>
    <t>ORD00426</t>
  </si>
  <si>
    <t>CUST159</t>
  </si>
  <si>
    <t>ORD00427</t>
  </si>
  <si>
    <t>ORD00428</t>
  </si>
  <si>
    <t>ORD00429</t>
  </si>
  <si>
    <t>ORD00430</t>
  </si>
  <si>
    <t>ORD00431</t>
  </si>
  <si>
    <t>ORD00432</t>
  </si>
  <si>
    <t>ORD00433</t>
  </si>
  <si>
    <t>CUST047</t>
  </si>
  <si>
    <t>ORD00434</t>
  </si>
  <si>
    <t>CUST005</t>
  </si>
  <si>
    <t>ORD00435</t>
  </si>
  <si>
    <t>ORD00436</t>
  </si>
  <si>
    <t>ORD00437</t>
  </si>
  <si>
    <t>ORD00438</t>
  </si>
  <si>
    <t>CUST175</t>
  </si>
  <si>
    <t>ORD00439</t>
  </si>
  <si>
    <t>ORD00440</t>
  </si>
  <si>
    <t>ORD00441</t>
  </si>
  <si>
    <t>ORD00442</t>
  </si>
  <si>
    <t>CUST143</t>
  </si>
  <si>
    <t>ORD00443</t>
  </si>
  <si>
    <t>ORD00444</t>
  </si>
  <si>
    <t>CUST011</t>
  </si>
  <si>
    <t>ORD00445</t>
  </si>
  <si>
    <t>ORD00446</t>
  </si>
  <si>
    <t>ORD00447</t>
  </si>
  <si>
    <t>ORD00448</t>
  </si>
  <si>
    <t>ORD00449</t>
  </si>
  <si>
    <t>CUST265</t>
  </si>
  <si>
    <t>ORD00450</t>
  </si>
  <si>
    <t>CUST154</t>
  </si>
  <si>
    <t>ORD00451</t>
  </si>
  <si>
    <t>ORD00452</t>
  </si>
  <si>
    <t>ORD00453</t>
  </si>
  <si>
    <t>ORD00454</t>
  </si>
  <si>
    <t>ORD00455</t>
  </si>
  <si>
    <t>ORD00456</t>
  </si>
  <si>
    <t>ORD00457</t>
  </si>
  <si>
    <t>ORD00458</t>
  </si>
  <si>
    <t>ORD00459</t>
  </si>
  <si>
    <t>ORD00460</t>
  </si>
  <si>
    <t>ORD00461</t>
  </si>
  <si>
    <t>ORD00462</t>
  </si>
  <si>
    <t>CUST021</t>
  </si>
  <si>
    <t>ORD00463</t>
  </si>
  <si>
    <t>ORD00464</t>
  </si>
  <si>
    <t>ORD00465</t>
  </si>
  <si>
    <t>ORD00466</t>
  </si>
  <si>
    <t>ORD00467</t>
  </si>
  <si>
    <t>ORD00468</t>
  </si>
  <si>
    <t>ORD00469</t>
  </si>
  <si>
    <t>ORD00470</t>
  </si>
  <si>
    <t>ORD00471</t>
  </si>
  <si>
    <t>ORD00472</t>
  </si>
  <si>
    <t>ORD00473</t>
  </si>
  <si>
    <t>ORD00474</t>
  </si>
  <si>
    <t>ORD00475</t>
  </si>
  <si>
    <t>ORD00476</t>
  </si>
  <si>
    <t>ORD00477</t>
  </si>
  <si>
    <t>ORD00478</t>
  </si>
  <si>
    <t>ORD00479</t>
  </si>
  <si>
    <t>CUST101</t>
  </si>
  <si>
    <t>ORD00480</t>
  </si>
  <si>
    <t>ORD00481</t>
  </si>
  <si>
    <t>ORD00482</t>
  </si>
  <si>
    <t>ORD00483</t>
  </si>
  <si>
    <t>ORD00484</t>
  </si>
  <si>
    <t>ORD00485</t>
  </si>
  <si>
    <t>CUST281</t>
  </si>
  <si>
    <t>ORD00486</t>
  </si>
  <si>
    <t>ORD00487</t>
  </si>
  <si>
    <t>ORD00488</t>
  </si>
  <si>
    <t>ORD00489</t>
  </si>
  <si>
    <t>ORD00490</t>
  </si>
  <si>
    <t>ORD00491</t>
  </si>
  <si>
    <t>ORD00492</t>
  </si>
  <si>
    <t>ORD00493</t>
  </si>
  <si>
    <t>CUST232</t>
  </si>
  <si>
    <t>ORD00494</t>
  </si>
  <si>
    <t>ORD00495</t>
  </si>
  <si>
    <t>ORD00496</t>
  </si>
  <si>
    <t>ORD00497</t>
  </si>
  <si>
    <t>ORD00498</t>
  </si>
  <si>
    <t>ORD00499</t>
  </si>
  <si>
    <t>ORD00500</t>
  </si>
  <si>
    <t>CUST083</t>
  </si>
  <si>
    <t>ORD00501</t>
  </si>
  <si>
    <t>ORD00502</t>
  </si>
  <si>
    <t>CUST129</t>
  </si>
  <si>
    <t>ORD00503</t>
  </si>
  <si>
    <t>CUST205</t>
  </si>
  <si>
    <t>ORD00504</t>
  </si>
  <si>
    <t>ORD00505</t>
  </si>
  <si>
    <t>CUST053</t>
  </si>
  <si>
    <t>ORD00506</t>
  </si>
  <si>
    <t>ORD00507</t>
  </si>
  <si>
    <t>ORD00508</t>
  </si>
  <si>
    <t>ORD00509</t>
  </si>
  <si>
    <t>ORD00510</t>
  </si>
  <si>
    <t>ORD00511</t>
  </si>
  <si>
    <t>ORD00512</t>
  </si>
  <si>
    <t>ORD00513</t>
  </si>
  <si>
    <t>ORD00514</t>
  </si>
  <si>
    <t>ORD00515</t>
  </si>
  <si>
    <t>ORD00516</t>
  </si>
  <si>
    <t>ORD00517</t>
  </si>
  <si>
    <t>ORD00518</t>
  </si>
  <si>
    <t>ORD00519</t>
  </si>
  <si>
    <t>ORD00520</t>
  </si>
  <si>
    <t>CUST137</t>
  </si>
  <si>
    <t>ORD00521</t>
  </si>
  <si>
    <t>ORD00522</t>
  </si>
  <si>
    <t>ORD00523</t>
  </si>
  <si>
    <t>ORD00524</t>
  </si>
  <si>
    <t>ORD00525</t>
  </si>
  <si>
    <t>ORD00526</t>
  </si>
  <si>
    <t>ORD00527</t>
  </si>
  <si>
    <t>ORD00528</t>
  </si>
  <si>
    <t>ORD00529</t>
  </si>
  <si>
    <t>CUST138</t>
  </si>
  <si>
    <t>ORD00530</t>
  </si>
  <si>
    <t>ORD00531</t>
  </si>
  <si>
    <t>ORD00532</t>
  </si>
  <si>
    <t>CUST223</t>
  </si>
  <si>
    <t>ORD00533</t>
  </si>
  <si>
    <t>ORD00534</t>
  </si>
  <si>
    <t>ORD00535</t>
  </si>
  <si>
    <t>ORD00536</t>
  </si>
  <si>
    <t>ORD00537</t>
  </si>
  <si>
    <t>ORD00538</t>
  </si>
  <si>
    <t>ORD00539</t>
  </si>
  <si>
    <t>ORD00540</t>
  </si>
  <si>
    <t>ORD00541</t>
  </si>
  <si>
    <t>ORD00542</t>
  </si>
  <si>
    <t>ORD00543</t>
  </si>
  <si>
    <t>ORD00544</t>
  </si>
  <si>
    <t>ORD00545</t>
  </si>
  <si>
    <t>ORD00546</t>
  </si>
  <si>
    <t>ORD00547</t>
  </si>
  <si>
    <t>ORD00548</t>
  </si>
  <si>
    <t>ORD00549</t>
  </si>
  <si>
    <t>ORD00550</t>
  </si>
  <si>
    <t>CUST014</t>
  </si>
  <si>
    <t>ORD00551</t>
  </si>
  <si>
    <t>CUST193</t>
  </si>
  <si>
    <t>ORD00552</t>
  </si>
  <si>
    <t>ORD00553</t>
  </si>
  <si>
    <t>ORD00554</t>
  </si>
  <si>
    <t>CUST040</t>
  </si>
  <si>
    <t>ORD00555</t>
  </si>
  <si>
    <t>ORD00556</t>
  </si>
  <si>
    <t>ORD00557</t>
  </si>
  <si>
    <t>ORD00558</t>
  </si>
  <si>
    <t>ORD00559</t>
  </si>
  <si>
    <t>ORD00560</t>
  </si>
  <si>
    <t>ORD00561</t>
  </si>
  <si>
    <t>ORD00562</t>
  </si>
  <si>
    <t>ORD00563</t>
  </si>
  <si>
    <t>ORD00564</t>
  </si>
  <si>
    <t>ORD00565</t>
  </si>
  <si>
    <t>CUST088</t>
  </si>
  <si>
    <t>ORD00566</t>
  </si>
  <si>
    <t>ORD00567</t>
  </si>
  <si>
    <t>CUST091</t>
  </si>
  <si>
    <t>ORD00568</t>
  </si>
  <si>
    <t>ORD00569</t>
  </si>
  <si>
    <t>ORD00570</t>
  </si>
  <si>
    <t>ORD00571</t>
  </si>
  <si>
    <t>ORD00572</t>
  </si>
  <si>
    <t>ORD00573</t>
  </si>
  <si>
    <t>ORD00574</t>
  </si>
  <si>
    <t>ORD00575</t>
  </si>
  <si>
    <t>CUST131</t>
  </si>
  <si>
    <t>ORD00576</t>
  </si>
  <si>
    <t>ORD00577</t>
  </si>
  <si>
    <t>ORD00578</t>
  </si>
  <si>
    <t>ORD00579</t>
  </si>
  <si>
    <t>ORD00580</t>
  </si>
  <si>
    <t>ORD00581</t>
  </si>
  <si>
    <t>ORD00582</t>
  </si>
  <si>
    <t>ORD00583</t>
  </si>
  <si>
    <t>ORD00584</t>
  </si>
  <si>
    <t>ORD00585</t>
  </si>
  <si>
    <t>ORD00586</t>
  </si>
  <si>
    <t>ORD00587</t>
  </si>
  <si>
    <t>ORD00588</t>
  </si>
  <si>
    <t>ORD00589</t>
  </si>
  <si>
    <t>ORD00590</t>
  </si>
  <si>
    <t>CUST050</t>
  </si>
  <si>
    <t>ORD00591</t>
  </si>
  <si>
    <t>ORD00592</t>
  </si>
  <si>
    <t>ORD00593</t>
  </si>
  <si>
    <t>ORD00594</t>
  </si>
  <si>
    <t>ORD00595</t>
  </si>
  <si>
    <t>CUST019</t>
  </si>
  <si>
    <t>ORD00596</t>
  </si>
  <si>
    <t>ORD00597</t>
  </si>
  <si>
    <t>ORD00598</t>
  </si>
  <si>
    <t>CUST289</t>
  </si>
  <si>
    <t>ORD00599</t>
  </si>
  <si>
    <t>ORD00600</t>
  </si>
  <si>
    <t>ORD00601</t>
  </si>
  <si>
    <t>ORD00602</t>
  </si>
  <si>
    <t>ORD00603</t>
  </si>
  <si>
    <t>ORD00604</t>
  </si>
  <si>
    <t>CUST082</t>
  </si>
  <si>
    <t>ORD00605</t>
  </si>
  <si>
    <t>ORD00606</t>
  </si>
  <si>
    <t>ORD00607</t>
  </si>
  <si>
    <t>ORD00608</t>
  </si>
  <si>
    <t>ORD00609</t>
  </si>
  <si>
    <t>ORD00610</t>
  </si>
  <si>
    <t>ORD00611</t>
  </si>
  <si>
    <t>CUST260</t>
  </si>
  <si>
    <t>ORD00612</t>
  </si>
  <si>
    <t>ORD00613</t>
  </si>
  <si>
    <t>ORD00614</t>
  </si>
  <si>
    <t>ORD00615</t>
  </si>
  <si>
    <t>ORD00616</t>
  </si>
  <si>
    <t>ORD00617</t>
  </si>
  <si>
    <t>ORD00618</t>
  </si>
  <si>
    <t>ORD00619</t>
  </si>
  <si>
    <t>ORD00620</t>
  </si>
  <si>
    <t>ORD00621</t>
  </si>
  <si>
    <t>ORD00622</t>
  </si>
  <si>
    <t>ORD00623</t>
  </si>
  <si>
    <t>ORD00624</t>
  </si>
  <si>
    <t>ORD00625</t>
  </si>
  <si>
    <t>ORD00626</t>
  </si>
  <si>
    <t>ORD00627</t>
  </si>
  <si>
    <t>ORD00628</t>
  </si>
  <si>
    <t>ORD00629</t>
  </si>
  <si>
    <t>ORD00630</t>
  </si>
  <si>
    <t>ORD00631</t>
  </si>
  <si>
    <t>ORD00632</t>
  </si>
  <si>
    <t>ORD00633</t>
  </si>
  <si>
    <t>ORD00634</t>
  </si>
  <si>
    <t>ORD00635</t>
  </si>
  <si>
    <t>ORD00636</t>
  </si>
  <si>
    <t>ORD00637</t>
  </si>
  <si>
    <t>ORD00638</t>
  </si>
  <si>
    <t>ORD00639</t>
  </si>
  <si>
    <t>ORD00640</t>
  </si>
  <si>
    <t>ORD00641</t>
  </si>
  <si>
    <t>ORD00642</t>
  </si>
  <si>
    <t>ORD00643</t>
  </si>
  <si>
    <t>ORD00644</t>
  </si>
  <si>
    <t>ORD00645</t>
  </si>
  <si>
    <t>ORD00646</t>
  </si>
  <si>
    <t>ORD00647</t>
  </si>
  <si>
    <t>ORD00648</t>
  </si>
  <si>
    <t>CUST108</t>
  </si>
  <si>
    <t>ORD00649</t>
  </si>
  <si>
    <t>CUST264</t>
  </si>
  <si>
    <t>ORD00650</t>
  </si>
  <si>
    <t>ORD00651</t>
  </si>
  <si>
    <t>ORD00652</t>
  </si>
  <si>
    <t>ORD00653</t>
  </si>
  <si>
    <t>ORD00654</t>
  </si>
  <si>
    <t>ORD00655</t>
  </si>
  <si>
    <t>CUST257</t>
  </si>
  <si>
    <t>ORD00656</t>
  </si>
  <si>
    <t>CUST061</t>
  </si>
  <si>
    <t>ORD00657</t>
  </si>
  <si>
    <t>ORD00658</t>
  </si>
  <si>
    <t>ORD00659</t>
  </si>
  <si>
    <t>ORD00660</t>
  </si>
  <si>
    <t>ORD00661</t>
  </si>
  <si>
    <t>ORD00662</t>
  </si>
  <si>
    <t>CUST178</t>
  </si>
  <si>
    <t>ORD00663</t>
  </si>
  <si>
    <t>ORD00664</t>
  </si>
  <si>
    <t>ORD00665</t>
  </si>
  <si>
    <t>ORD00666</t>
  </si>
  <si>
    <t>ORD00667</t>
  </si>
  <si>
    <t>ORD00668</t>
  </si>
  <si>
    <t>ORD00669</t>
  </si>
  <si>
    <t>ORD00670</t>
  </si>
  <si>
    <t>ORD00671</t>
  </si>
  <si>
    <t>ORD00672</t>
  </si>
  <si>
    <t>ORD00673</t>
  </si>
  <si>
    <t>ORD00674</t>
  </si>
  <si>
    <t>ORD00675</t>
  </si>
  <si>
    <t>ORD00676</t>
  </si>
  <si>
    <t>ORD00677</t>
  </si>
  <si>
    <t>ORD00678</t>
  </si>
  <si>
    <t>ORD00679</t>
  </si>
  <si>
    <t>ORD00680</t>
  </si>
  <si>
    <t>ORD00681</t>
  </si>
  <si>
    <t>ORD00682</t>
  </si>
  <si>
    <t>ORD00683</t>
  </si>
  <si>
    <t>ORD00684</t>
  </si>
  <si>
    <t>ORD00685</t>
  </si>
  <si>
    <t>ORD00686</t>
  </si>
  <si>
    <t>ORD00687</t>
  </si>
  <si>
    <t>ORD00688</t>
  </si>
  <si>
    <t>ORD00689</t>
  </si>
  <si>
    <t>CUST242</t>
  </si>
  <si>
    <t>ORD00690</t>
  </si>
  <si>
    <t>ORD00691</t>
  </si>
  <si>
    <t>ORD00692</t>
  </si>
  <si>
    <t>ORD00693</t>
  </si>
  <si>
    <t>ORD00694</t>
  </si>
  <si>
    <t>CUST032</t>
  </si>
  <si>
    <t>ORD00695</t>
  </si>
  <si>
    <t>ORD00696</t>
  </si>
  <si>
    <t>ORD00697</t>
  </si>
  <si>
    <t>ORD00698</t>
  </si>
  <si>
    <t>CUST133</t>
  </si>
  <si>
    <t>ORD00699</t>
  </si>
  <si>
    <t>ORD00700</t>
  </si>
  <si>
    <t>ORD00701</t>
  </si>
  <si>
    <t>ORD00702</t>
  </si>
  <si>
    <t>ORD00703</t>
  </si>
  <si>
    <t>ORD00704</t>
  </si>
  <si>
    <t>ORD00705</t>
  </si>
  <si>
    <t>ORD00706</t>
  </si>
  <si>
    <t>ORD00707</t>
  </si>
  <si>
    <t>ORD00708</t>
  </si>
  <si>
    <t>ORD00709</t>
  </si>
  <si>
    <t>ORD00710</t>
  </si>
  <si>
    <t>ORD00711</t>
  </si>
  <si>
    <t>ORD00712</t>
  </si>
  <si>
    <t>ORD00713</t>
  </si>
  <si>
    <t>CUST052</t>
  </si>
  <si>
    <t>ORD00714</t>
  </si>
  <si>
    <t>ORD00715</t>
  </si>
  <si>
    <t>ORD00716</t>
  </si>
  <si>
    <t>ORD00717</t>
  </si>
  <si>
    <t>ORD00718</t>
  </si>
  <si>
    <t>ORD00719</t>
  </si>
  <si>
    <t>ORD00720</t>
  </si>
  <si>
    <t>ORD00721</t>
  </si>
  <si>
    <t>ORD00722</t>
  </si>
  <si>
    <t>ORD00723</t>
  </si>
  <si>
    <t>ORD00724</t>
  </si>
  <si>
    <t>ORD00725</t>
  </si>
  <si>
    <t>ORD00726</t>
  </si>
  <si>
    <t>ORD00727</t>
  </si>
  <si>
    <t>ORD00728</t>
  </si>
  <si>
    <t>ORD00729</t>
  </si>
  <si>
    <t>ORD00730</t>
  </si>
  <si>
    <t>ORD00731</t>
  </si>
  <si>
    <t>ORD00732</t>
  </si>
  <si>
    <t>ORD00733</t>
  </si>
  <si>
    <t>ORD00734</t>
  </si>
  <si>
    <t>ORD00735</t>
  </si>
  <si>
    <t>CUST065</t>
  </si>
  <si>
    <t>ORD00736</t>
  </si>
  <si>
    <t>ORD00737</t>
  </si>
  <si>
    <t>ORD00738</t>
  </si>
  <si>
    <t>CUST206</t>
  </si>
  <si>
    <t>ORD00739</t>
  </si>
  <si>
    <t>ORD00740</t>
  </si>
  <si>
    <t>ORD00741</t>
  </si>
  <si>
    <t>ORD00742</t>
  </si>
  <si>
    <t>ORD00743</t>
  </si>
  <si>
    <t>ORD00744</t>
  </si>
  <si>
    <t>ORD00745</t>
  </si>
  <si>
    <t>ORD00746</t>
  </si>
  <si>
    <t>ORD00747</t>
  </si>
  <si>
    <t>CUST237</t>
  </si>
  <si>
    <t>ORD00748</t>
  </si>
  <si>
    <t>ORD00749</t>
  </si>
  <si>
    <t>ORD00750</t>
  </si>
  <si>
    <t>ORD00751</t>
  </si>
  <si>
    <t>ORD00752</t>
  </si>
  <si>
    <t>ORD00753</t>
  </si>
  <si>
    <t>ORD00754</t>
  </si>
  <si>
    <t>ORD00755</t>
  </si>
  <si>
    <t>ORD00756</t>
  </si>
  <si>
    <t>ORD00757</t>
  </si>
  <si>
    <t>ORD00758</t>
  </si>
  <si>
    <t>ORD00759</t>
  </si>
  <si>
    <t>ORD00760</t>
  </si>
  <si>
    <t>ORD00761</t>
  </si>
  <si>
    <t>ORD00762</t>
  </si>
  <si>
    <t>ORD00763</t>
  </si>
  <si>
    <t>ORD00764</t>
  </si>
  <si>
    <t>ORD00765</t>
  </si>
  <si>
    <t>ORD00766</t>
  </si>
  <si>
    <t>ORD00767</t>
  </si>
  <si>
    <t>ORD00768</t>
  </si>
  <si>
    <t>ORD00769</t>
  </si>
  <si>
    <t>ORD00770</t>
  </si>
  <si>
    <t>ORD00771</t>
  </si>
  <si>
    <t>ORD00772</t>
  </si>
  <si>
    <t>ORD00773</t>
  </si>
  <si>
    <t>ORD00774</t>
  </si>
  <si>
    <t>ORD00775</t>
  </si>
  <si>
    <t>CUST060</t>
  </si>
  <si>
    <t>ORD00776</t>
  </si>
  <si>
    <t>ORD00777</t>
  </si>
  <si>
    <t>ORD00778</t>
  </si>
  <si>
    <t>ORD00779</t>
  </si>
  <si>
    <t>ORD00780</t>
  </si>
  <si>
    <t>ORD00781</t>
  </si>
  <si>
    <t>ORD00782</t>
  </si>
  <si>
    <t>ORD00783</t>
  </si>
  <si>
    <t>CUST063</t>
  </si>
  <si>
    <t>ORD00784</t>
  </si>
  <si>
    <t>ORD00785</t>
  </si>
  <si>
    <t>ORD00786</t>
  </si>
  <si>
    <t>ORD00787</t>
  </si>
  <si>
    <t>ORD00788</t>
  </si>
  <si>
    <t>ORD00789</t>
  </si>
  <si>
    <t>ORD00790</t>
  </si>
  <si>
    <t>ORD00791</t>
  </si>
  <si>
    <t>ORD00792</t>
  </si>
  <si>
    <t>ORD00793</t>
  </si>
  <si>
    <t>ORD00794</t>
  </si>
  <si>
    <t>ORD00795</t>
  </si>
  <si>
    <t>ORD00796</t>
  </si>
  <si>
    <t>ORD00797</t>
  </si>
  <si>
    <t>CUST135</t>
  </si>
  <si>
    <t>ORD00798</t>
  </si>
  <si>
    <t>ORD00799</t>
  </si>
  <si>
    <t>ORD00800</t>
  </si>
  <si>
    <t>ORD00801</t>
  </si>
  <si>
    <t>ORD00802</t>
  </si>
  <si>
    <t>CUST284</t>
  </si>
  <si>
    <t>ORD00803</t>
  </si>
  <si>
    <t>ORD00804</t>
  </si>
  <si>
    <t>ORD00805</t>
  </si>
  <si>
    <t>ORD00806</t>
  </si>
  <si>
    <t>CUST031</t>
  </si>
  <si>
    <t>ORD00807</t>
  </si>
  <si>
    <t>ORD00808</t>
  </si>
  <si>
    <t>ORD00809</t>
  </si>
  <si>
    <t>ORD00810</t>
  </si>
  <si>
    <t>ORD00811</t>
  </si>
  <si>
    <t>ORD00812</t>
  </si>
  <si>
    <t>ORD00813</t>
  </si>
  <si>
    <t>ORD00814</t>
  </si>
  <si>
    <t>ORD00815</t>
  </si>
  <si>
    <t>ORD00816</t>
  </si>
  <si>
    <t>ORD00817</t>
  </si>
  <si>
    <t>ORD00818</t>
  </si>
  <si>
    <t>CUST058</t>
  </si>
  <si>
    <t>ORD00819</t>
  </si>
  <si>
    <t>ORD00820</t>
  </si>
  <si>
    <t>ORD00821</t>
  </si>
  <si>
    <t>ORD00822</t>
  </si>
  <si>
    <t>ORD00823</t>
  </si>
  <si>
    <t>ORD00824</t>
  </si>
  <si>
    <t>ORD00825</t>
  </si>
  <si>
    <t>ORD00826</t>
  </si>
  <si>
    <t>ORD00827</t>
  </si>
  <si>
    <t>ORD00828</t>
  </si>
  <si>
    <t>ORD00829</t>
  </si>
  <si>
    <t>ORD00830</t>
  </si>
  <si>
    <t>ORD00831</t>
  </si>
  <si>
    <t>ORD00832</t>
  </si>
  <si>
    <t>ORD00833</t>
  </si>
  <si>
    <t>ORD00834</t>
  </si>
  <si>
    <t>ORD00835</t>
  </si>
  <si>
    <t>ORD00836</t>
  </si>
  <si>
    <t>ORD00837</t>
  </si>
  <si>
    <t>ORD00838</t>
  </si>
  <si>
    <t>ORD00839</t>
  </si>
  <si>
    <t>ORD00840</t>
  </si>
  <si>
    <t>ORD00841</t>
  </si>
  <si>
    <t>ORD00842</t>
  </si>
  <si>
    <t>ORD00843</t>
  </si>
  <si>
    <t>ORD00844</t>
  </si>
  <si>
    <t>ORD00845</t>
  </si>
  <si>
    <t>ORD00846</t>
  </si>
  <si>
    <t>ORD00847</t>
  </si>
  <si>
    <t>CUST224</t>
  </si>
  <si>
    <t>ORD00848</t>
  </si>
  <si>
    <t>ORD00849</t>
  </si>
  <si>
    <t>ORD00850</t>
  </si>
  <si>
    <t>ORD00851</t>
  </si>
  <si>
    <t>ORD00852</t>
  </si>
  <si>
    <t>CUST243</t>
  </si>
  <si>
    <t>ORD00853</t>
  </si>
  <si>
    <t>ORD00854</t>
  </si>
  <si>
    <t>ORD00855</t>
  </si>
  <si>
    <t>ORD00856</t>
  </si>
  <si>
    <t>ORD00857</t>
  </si>
  <si>
    <t>ORD00858</t>
  </si>
  <si>
    <t>ORD00859</t>
  </si>
  <si>
    <t>CUST074</t>
  </si>
  <si>
    <t>ORD00860</t>
  </si>
  <si>
    <t>ORD00861</t>
  </si>
  <si>
    <t>ORD00862</t>
  </si>
  <si>
    <t>ORD00863</t>
  </si>
  <si>
    <t>ORD00864</t>
  </si>
  <si>
    <t>ORD00865</t>
  </si>
  <si>
    <t>ORD00866</t>
  </si>
  <si>
    <t>ORD00867</t>
  </si>
  <si>
    <t>ORD00868</t>
  </si>
  <si>
    <t>ORD00869</t>
  </si>
  <si>
    <t>ORD00870</t>
  </si>
  <si>
    <t>ORD00871</t>
  </si>
  <si>
    <t>ORD00872</t>
  </si>
  <si>
    <t>CUST149</t>
  </si>
  <si>
    <t>ORD00873</t>
  </si>
  <si>
    <t>ORD00874</t>
  </si>
  <si>
    <t>ORD00875</t>
  </si>
  <si>
    <t>ORD00876</t>
  </si>
  <si>
    <t>ORD00877</t>
  </si>
  <si>
    <t>ORD00878</t>
  </si>
  <si>
    <t>ORD00879</t>
  </si>
  <si>
    <t>ORD00880</t>
  </si>
  <si>
    <t>CUST278</t>
  </si>
  <si>
    <t>ORD00881</t>
  </si>
  <si>
    <t>ORD00882</t>
  </si>
  <si>
    <t>CUST266</t>
  </si>
  <si>
    <t>ORD00883</t>
  </si>
  <si>
    <t>ORD00884</t>
  </si>
  <si>
    <t>ORD00885</t>
  </si>
  <si>
    <t>ORD00886</t>
  </si>
  <si>
    <t>ORD00887</t>
  </si>
  <si>
    <t>ORD00888</t>
  </si>
  <si>
    <t>ORD00889</t>
  </si>
  <si>
    <t>ORD00890</t>
  </si>
  <si>
    <t>ORD00891</t>
  </si>
  <si>
    <t>ORD00892</t>
  </si>
  <si>
    <t>ORD00893</t>
  </si>
  <si>
    <t>ORD00894</t>
  </si>
  <si>
    <t>ORD00895</t>
  </si>
  <si>
    <t>ORD00896</t>
  </si>
  <si>
    <t>ORD00897</t>
  </si>
  <si>
    <t>ORD00898</t>
  </si>
  <si>
    <t>ORD00899</t>
  </si>
  <si>
    <t>ORD00900</t>
  </si>
  <si>
    <t>ORD00901</t>
  </si>
  <si>
    <t>ORD00902</t>
  </si>
  <si>
    <t>ORD00903</t>
  </si>
  <si>
    <t>ORD00904</t>
  </si>
  <si>
    <t>ORD00905</t>
  </si>
  <si>
    <t>ORD00906</t>
  </si>
  <si>
    <t>ORD00907</t>
  </si>
  <si>
    <t>ORD00908</t>
  </si>
  <si>
    <t>ORD00909</t>
  </si>
  <si>
    <t>ORD00910</t>
  </si>
  <si>
    <t>ORD00911</t>
  </si>
  <si>
    <t>ORD00912</t>
  </si>
  <si>
    <t>ORD00913</t>
  </si>
  <si>
    <t>ORD00914</t>
  </si>
  <si>
    <t>ORD00915</t>
  </si>
  <si>
    <t>ORD00916</t>
  </si>
  <si>
    <t>ORD00917</t>
  </si>
  <si>
    <t>ORD00918</t>
  </si>
  <si>
    <t>ORD00919</t>
  </si>
  <si>
    <t>ORD00920</t>
  </si>
  <si>
    <t>ORD00921</t>
  </si>
  <si>
    <t>ORD00922</t>
  </si>
  <si>
    <t>ORD00923</t>
  </si>
  <si>
    <t>ORD00924</t>
  </si>
  <si>
    <t>ORD00925</t>
  </si>
  <si>
    <t>ORD00926</t>
  </si>
  <si>
    <t>ORD00927</t>
  </si>
  <si>
    <t>ORD00928</t>
  </si>
  <si>
    <t>ORD00929</t>
  </si>
  <si>
    <t>ORD00930</t>
  </si>
  <si>
    <t>ORD00931</t>
  </si>
  <si>
    <t>ORD00932</t>
  </si>
  <si>
    <t>ORD00933</t>
  </si>
  <si>
    <t>ORD00934</t>
  </si>
  <si>
    <t>CUST119</t>
  </si>
  <si>
    <t>ORD00935</t>
  </si>
  <si>
    <t>ORD00936</t>
  </si>
  <si>
    <t>ORD00937</t>
  </si>
  <si>
    <t>ORD00938</t>
  </si>
  <si>
    <t>ORD00939</t>
  </si>
  <si>
    <t>ORD00940</t>
  </si>
  <si>
    <t>ORD00941</t>
  </si>
  <si>
    <t>ORD00942</t>
  </si>
  <si>
    <t>ORD00943</t>
  </si>
  <si>
    <t>ORD00944</t>
  </si>
  <si>
    <t>ORD00945</t>
  </si>
  <si>
    <t>ORD00946</t>
  </si>
  <si>
    <t>ORD00947</t>
  </si>
  <si>
    <t>ORD00948</t>
  </si>
  <si>
    <t>ORD00949</t>
  </si>
  <si>
    <t>ORD00950</t>
  </si>
  <si>
    <t>ORD00951</t>
  </si>
  <si>
    <t>ORD00952</t>
  </si>
  <si>
    <t>ORD00953</t>
  </si>
  <si>
    <t>ORD00954</t>
  </si>
  <si>
    <t>ORD00955</t>
  </si>
  <si>
    <t>ORD00956</t>
  </si>
  <si>
    <t>ORD00957</t>
  </si>
  <si>
    <t>ORD00958</t>
  </si>
  <si>
    <t>ORD00959</t>
  </si>
  <si>
    <t>ORD00960</t>
  </si>
  <si>
    <t>ORD00961</t>
  </si>
  <si>
    <t>CUST276</t>
  </si>
  <si>
    <t>ORD00962</t>
  </si>
  <si>
    <t>ORD00963</t>
  </si>
  <si>
    <t>ORD00964</t>
  </si>
  <si>
    <t>ORD00965</t>
  </si>
  <si>
    <t>ORD00966</t>
  </si>
  <si>
    <t>ORD00967</t>
  </si>
  <si>
    <t>ORD00968</t>
  </si>
  <si>
    <t>ORD00969</t>
  </si>
  <si>
    <t>ORD00970</t>
  </si>
  <si>
    <t>ORD00971</t>
  </si>
  <si>
    <t>ORD00972</t>
  </si>
  <si>
    <t>ORD00973</t>
  </si>
  <si>
    <t>ORD00974</t>
  </si>
  <si>
    <t>ORD00975</t>
  </si>
  <si>
    <t>ORD00976</t>
  </si>
  <si>
    <t>ORD00977</t>
  </si>
  <si>
    <t>ORD00978</t>
  </si>
  <si>
    <t>ORD00979</t>
  </si>
  <si>
    <t>ORD00980</t>
  </si>
  <si>
    <t>ORD00981</t>
  </si>
  <si>
    <t>ORD00982</t>
  </si>
  <si>
    <t>ORD00983</t>
  </si>
  <si>
    <t>ORD00984</t>
  </si>
  <si>
    <t>ORD00985</t>
  </si>
  <si>
    <t>ORD00986</t>
  </si>
  <si>
    <t>ORD00987</t>
  </si>
  <si>
    <t>ORD00988</t>
  </si>
  <si>
    <t>ORD00989</t>
  </si>
  <si>
    <t>CUST204</t>
  </si>
  <si>
    <t>ORD00990</t>
  </si>
  <si>
    <t>ORD00991</t>
  </si>
  <si>
    <t>ORD00992</t>
  </si>
  <si>
    <t>ORD00993</t>
  </si>
  <si>
    <t>ORD00994</t>
  </si>
  <si>
    <t>ORD00995</t>
  </si>
  <si>
    <t>ORD00996</t>
  </si>
  <si>
    <t>ORD00997</t>
  </si>
  <si>
    <t>ORD00998</t>
  </si>
  <si>
    <t>ORD00999</t>
  </si>
  <si>
    <t>ORD01000</t>
  </si>
  <si>
    <t>ORD01001</t>
  </si>
  <si>
    <t>ORD01002</t>
  </si>
  <si>
    <t>ORD01003</t>
  </si>
  <si>
    <t>ORD01004</t>
  </si>
  <si>
    <t>ORD01005</t>
  </si>
  <si>
    <t>ORD01006</t>
  </si>
  <si>
    <t>ORD01007</t>
  </si>
  <si>
    <t>ORD01008</t>
  </si>
  <si>
    <t>ORD01009</t>
  </si>
  <si>
    <t>ORD01010</t>
  </si>
  <si>
    <t>ORD01011</t>
  </si>
  <si>
    <t>ORD01012</t>
  </si>
  <si>
    <t>ORD01013</t>
  </si>
  <si>
    <t>CUST210</t>
  </si>
  <si>
    <t>ORD01014</t>
  </si>
  <si>
    <t>ORD01015</t>
  </si>
  <si>
    <t>ORD01016</t>
  </si>
  <si>
    <t>ORD01017</t>
  </si>
  <si>
    <t>ORD01018</t>
  </si>
  <si>
    <t>ORD01019</t>
  </si>
  <si>
    <t>ORD01020</t>
  </si>
  <si>
    <t>ORD01021</t>
  </si>
  <si>
    <t>ORD01022</t>
  </si>
  <si>
    <t>ORD01023</t>
  </si>
  <si>
    <t>ORD01024</t>
  </si>
  <si>
    <t>ORD01025</t>
  </si>
  <si>
    <t>ORD01026</t>
  </si>
  <si>
    <t>ORD01027</t>
  </si>
  <si>
    <t>ORD01028</t>
  </si>
  <si>
    <t>ORD01029</t>
  </si>
  <si>
    <t>ORD01030</t>
  </si>
  <si>
    <t>ORD01031</t>
  </si>
  <si>
    <t>ORD01032</t>
  </si>
  <si>
    <t>ORD01033</t>
  </si>
  <si>
    <t>ORD01034</t>
  </si>
  <si>
    <t>ORD01035</t>
  </si>
  <si>
    <t>ORD01036</t>
  </si>
  <si>
    <t>ORD01037</t>
  </si>
  <si>
    <t>ORD01038</t>
  </si>
  <si>
    <t>ORD01039</t>
  </si>
  <si>
    <t>ORD01040</t>
  </si>
  <si>
    <t>CUST077</t>
  </si>
  <si>
    <t>ORD01041</t>
  </si>
  <si>
    <t>ORD01042</t>
  </si>
  <si>
    <t>ORD01043</t>
  </si>
  <si>
    <t>ORD01044</t>
  </si>
  <si>
    <t>ORD01045</t>
  </si>
  <si>
    <t>ORD01046</t>
  </si>
  <si>
    <t>ORD01047</t>
  </si>
  <si>
    <t>ORD01048</t>
  </si>
  <si>
    <t>ORD01049</t>
  </si>
  <si>
    <t>CUST097</t>
  </si>
  <si>
    <t>ORD01050</t>
  </si>
  <si>
    <t>ORD01051</t>
  </si>
  <si>
    <t>ORD01052</t>
  </si>
  <si>
    <t>ORD01053</t>
  </si>
  <si>
    <t>ORD01054</t>
  </si>
  <si>
    <t>ORD01055</t>
  </si>
  <si>
    <t>ORD01056</t>
  </si>
  <si>
    <t>ORD01057</t>
  </si>
  <si>
    <t>ORD01058</t>
  </si>
  <si>
    <t>ORD01059</t>
  </si>
  <si>
    <t>ORD01060</t>
  </si>
  <si>
    <t>ORD01061</t>
  </si>
  <si>
    <t>ORD01062</t>
  </si>
  <si>
    <t>ORD01063</t>
  </si>
  <si>
    <t>ORD01064</t>
  </si>
  <si>
    <t>ORD01065</t>
  </si>
  <si>
    <t>ORD01066</t>
  </si>
  <si>
    <t>ORD01067</t>
  </si>
  <si>
    <t>ORD01068</t>
  </si>
  <si>
    <t>ORD01069</t>
  </si>
  <si>
    <t>ORD01070</t>
  </si>
  <si>
    <t>ORD01071</t>
  </si>
  <si>
    <t>ORD01072</t>
  </si>
  <si>
    <t>ORD01073</t>
  </si>
  <si>
    <t>ORD01074</t>
  </si>
  <si>
    <t>ORD01075</t>
  </si>
  <si>
    <t>ORD01076</t>
  </si>
  <si>
    <t>ORD01077</t>
  </si>
  <si>
    <t>ORD01078</t>
  </si>
  <si>
    <t>ORD01079</t>
  </si>
  <si>
    <t>ORD01080</t>
  </si>
  <si>
    <t>ORD01081</t>
  </si>
  <si>
    <t>ORD01082</t>
  </si>
  <si>
    <t>ORD01083</t>
  </si>
  <si>
    <t>ORD01084</t>
  </si>
  <si>
    <t>ORD01085</t>
  </si>
  <si>
    <t>ORD01086</t>
  </si>
  <si>
    <t>CUST165</t>
  </si>
  <si>
    <t>ORD01087</t>
  </si>
  <si>
    <t>ORD01088</t>
  </si>
  <si>
    <t>ORD01089</t>
  </si>
  <si>
    <t>ORD01090</t>
  </si>
  <si>
    <t>ORD01091</t>
  </si>
  <si>
    <t>ORD01092</t>
  </si>
  <si>
    <t>ORD01093</t>
  </si>
  <si>
    <t>ORD01094</t>
  </si>
  <si>
    <t>ORD01095</t>
  </si>
  <si>
    <t>ORD01096</t>
  </si>
  <si>
    <t>ORD01097</t>
  </si>
  <si>
    <t>ORD01098</t>
  </si>
  <si>
    <t>ORD01099</t>
  </si>
  <si>
    <t>ORD01100</t>
  </si>
  <si>
    <t>ORD01101</t>
  </si>
  <si>
    <t>ORD01102</t>
  </si>
  <si>
    <t>ORD01103</t>
  </si>
  <si>
    <t>ORD01104</t>
  </si>
  <si>
    <t>ORD01105</t>
  </si>
  <si>
    <t>ORD01106</t>
  </si>
  <si>
    <t>ORD01107</t>
  </si>
  <si>
    <t>ORD01108</t>
  </si>
  <si>
    <t>ORD01109</t>
  </si>
  <si>
    <t>ORD01110</t>
  </si>
  <si>
    <t>ORD01111</t>
  </si>
  <si>
    <t>ORD01112</t>
  </si>
  <si>
    <t>ORD01113</t>
  </si>
  <si>
    <t>ORD01114</t>
  </si>
  <si>
    <t>ORD01115</t>
  </si>
  <si>
    <t>ORD01116</t>
  </si>
  <si>
    <t>CUST051</t>
  </si>
  <si>
    <t>ORD01117</t>
  </si>
  <si>
    <t>ORD01118</t>
  </si>
  <si>
    <t>ORD01119</t>
  </si>
  <si>
    <t>ORD01120</t>
  </si>
  <si>
    <t>CUST258</t>
  </si>
  <si>
    <t>ORD01121</t>
  </si>
  <si>
    <t>ORD01122</t>
  </si>
  <si>
    <t>ORD01123</t>
  </si>
  <si>
    <t>ORD01124</t>
  </si>
  <si>
    <t>ORD01125</t>
  </si>
  <si>
    <t>ORD01126</t>
  </si>
  <si>
    <t>ORD01127</t>
  </si>
  <si>
    <t>ORD01128</t>
  </si>
  <si>
    <t>ORD01129</t>
  </si>
  <si>
    <t>ORD01130</t>
  </si>
  <si>
    <t>ORD01131</t>
  </si>
  <si>
    <t>ORD01132</t>
  </si>
  <si>
    <t>ORD01133</t>
  </si>
  <si>
    <t>ORD01134</t>
  </si>
  <si>
    <t>ORD01135</t>
  </si>
  <si>
    <t>ORD01136</t>
  </si>
  <si>
    <t>ORD01137</t>
  </si>
  <si>
    <t>ORD01138</t>
  </si>
  <si>
    <t>CUST141</t>
  </si>
  <si>
    <t>ORD01139</t>
  </si>
  <si>
    <t>ORD01140</t>
  </si>
  <si>
    <t>ORD01141</t>
  </si>
  <si>
    <t>ORD01142</t>
  </si>
  <si>
    <t>ORD01143</t>
  </si>
  <si>
    <t>ORD01144</t>
  </si>
  <si>
    <t>ORD01145</t>
  </si>
  <si>
    <t>ORD01146</t>
  </si>
  <si>
    <t>ORD01147</t>
  </si>
  <si>
    <t>ORD01148</t>
  </si>
  <si>
    <t>ORD01149</t>
  </si>
  <si>
    <t>ORD01150</t>
  </si>
  <si>
    <t>ORD01151</t>
  </si>
  <si>
    <t>ORD01152</t>
  </si>
  <si>
    <t>ORD01153</t>
  </si>
  <si>
    <t>ORD01154</t>
  </si>
  <si>
    <t>ORD01155</t>
  </si>
  <si>
    <t>ORD01156</t>
  </si>
  <si>
    <t>ORD01157</t>
  </si>
  <si>
    <t>ORD01158</t>
  </si>
  <si>
    <t>ORD01159</t>
  </si>
  <si>
    <t>ORD01160</t>
  </si>
  <si>
    <t>ORD01161</t>
  </si>
  <si>
    <t>ORD01162</t>
  </si>
  <si>
    <t>ORD01163</t>
  </si>
  <si>
    <t>ORD01164</t>
  </si>
  <si>
    <t>ORD01165</t>
  </si>
  <si>
    <t>ORD01166</t>
  </si>
  <si>
    <t>ORD01167</t>
  </si>
  <si>
    <t>ORD01168</t>
  </si>
  <si>
    <t>ORD01169</t>
  </si>
  <si>
    <t>ORD01170</t>
  </si>
  <si>
    <t>ORD01171</t>
  </si>
  <si>
    <t>ORD01172</t>
  </si>
  <si>
    <t>ORD01173</t>
  </si>
  <si>
    <t>ORD01174</t>
  </si>
  <si>
    <t>ORD01175</t>
  </si>
  <si>
    <t>ORD01176</t>
  </si>
  <si>
    <t>ORD01177</t>
  </si>
  <si>
    <t>ORD01178</t>
  </si>
  <si>
    <t>ORD01179</t>
  </si>
  <si>
    <t>ORD01180</t>
  </si>
  <si>
    <t>ORD01181</t>
  </si>
  <si>
    <t>ORD01182</t>
  </si>
  <si>
    <t>ORD01183</t>
  </si>
  <si>
    <t>ORD01184</t>
  </si>
  <si>
    <t>ORD01185</t>
  </si>
  <si>
    <t>ORD01186</t>
  </si>
  <si>
    <t>ORD01187</t>
  </si>
  <si>
    <t>ORD01188</t>
  </si>
  <si>
    <t>ORD01189</t>
  </si>
  <si>
    <t>ORD01190</t>
  </si>
  <si>
    <t>ORD01191</t>
  </si>
  <si>
    <t>ORD01192</t>
  </si>
  <si>
    <t>ORD01193</t>
  </si>
  <si>
    <t>ORD01194</t>
  </si>
  <si>
    <t>ORD01195</t>
  </si>
  <si>
    <t>ORD01196</t>
  </si>
  <si>
    <t>ORD01197</t>
  </si>
  <si>
    <t>ORD01198</t>
  </si>
  <si>
    <t>ORD01199</t>
  </si>
  <si>
    <t>ORD01200</t>
  </si>
  <si>
    <t>ORD01201</t>
  </si>
  <si>
    <t>ORD01202</t>
  </si>
  <si>
    <t>ORD01203</t>
  </si>
  <si>
    <t>ORD01204</t>
  </si>
  <si>
    <t>ORD01205</t>
  </si>
  <si>
    <t>ORD01206</t>
  </si>
  <si>
    <t>ORD01207</t>
  </si>
  <si>
    <t>ORD01208</t>
  </si>
  <si>
    <t>ORD01209</t>
  </si>
  <si>
    <t>ORD01210</t>
  </si>
  <si>
    <t>ORD01211</t>
  </si>
  <si>
    <t>ORD01212</t>
  </si>
  <si>
    <t>ORD01213</t>
  </si>
  <si>
    <t>ORD01214</t>
  </si>
  <si>
    <t>ORD01215</t>
  </si>
  <si>
    <t>ORD01216</t>
  </si>
  <si>
    <t>ORD01217</t>
  </si>
  <si>
    <t>ORD01218</t>
  </si>
  <si>
    <t>ORD01219</t>
  </si>
  <si>
    <t>ORD01220</t>
  </si>
  <si>
    <t>ORD01221</t>
  </si>
  <si>
    <t>ORD01222</t>
  </si>
  <si>
    <t>ORD01223</t>
  </si>
  <si>
    <t>ORD01224</t>
  </si>
  <si>
    <t>ORD01225</t>
  </si>
  <si>
    <t>ORD01226</t>
  </si>
  <si>
    <t>ORD01227</t>
  </si>
  <si>
    <t>ORD01228</t>
  </si>
  <si>
    <t>ORD01229</t>
  </si>
  <si>
    <t>ORD01230</t>
  </si>
  <si>
    <t>ORD01231</t>
  </si>
  <si>
    <t>ORD01232</t>
  </si>
  <si>
    <t>ORD01233</t>
  </si>
  <si>
    <t>ORD01234</t>
  </si>
  <si>
    <t>ORD01235</t>
  </si>
  <si>
    <t>ORD01236</t>
  </si>
  <si>
    <t>ORD01237</t>
  </si>
  <si>
    <t>ORD01238</t>
  </si>
  <si>
    <t>ORD01239</t>
  </si>
  <si>
    <t>ORD01240</t>
  </si>
  <si>
    <t>ORD01241</t>
  </si>
  <si>
    <t>ORD01242</t>
  </si>
  <si>
    <t>ORD01243</t>
  </si>
  <si>
    <t>ORD01244</t>
  </si>
  <si>
    <t>ORD01245</t>
  </si>
  <si>
    <t>ORD01246</t>
  </si>
  <si>
    <t>ORD01247</t>
  </si>
  <si>
    <t>ORD01248</t>
  </si>
  <si>
    <t>ORD01249</t>
  </si>
  <si>
    <t>ORD01250</t>
  </si>
  <si>
    <t>ORD01251</t>
  </si>
  <si>
    <t>ORD01252</t>
  </si>
  <si>
    <t>ORD01253</t>
  </si>
  <si>
    <t>ORD01254</t>
  </si>
  <si>
    <t>ORD01255</t>
  </si>
  <si>
    <t>ORD01256</t>
  </si>
  <si>
    <t>ORD01257</t>
  </si>
  <si>
    <t>ORD01258</t>
  </si>
  <si>
    <t>ORD01259</t>
  </si>
  <si>
    <t>ORD01260</t>
  </si>
  <si>
    <t>ORD01261</t>
  </si>
  <si>
    <t>ORD01262</t>
  </si>
  <si>
    <t>ORD01263</t>
  </si>
  <si>
    <t>ORD01264</t>
  </si>
  <si>
    <t>ORD01265</t>
  </si>
  <si>
    <t>ORD01266</t>
  </si>
  <si>
    <t>ORD01267</t>
  </si>
  <si>
    <t>ORD01268</t>
  </si>
  <si>
    <t>ORD01269</t>
  </si>
  <si>
    <t>ORD01270</t>
  </si>
  <si>
    <t>ORD01271</t>
  </si>
  <si>
    <t>ORD01272</t>
  </si>
  <si>
    <t>ORD01273</t>
  </si>
  <si>
    <t>ORD01274</t>
  </si>
  <si>
    <t>ORD01275</t>
  </si>
  <si>
    <t>ORD01276</t>
  </si>
  <si>
    <t>ORD01277</t>
  </si>
  <si>
    <t>ORD01278</t>
  </si>
  <si>
    <t>ORD01279</t>
  </si>
  <si>
    <t>ORD01280</t>
  </si>
  <si>
    <t>ORD01281</t>
  </si>
  <si>
    <t>ORD01282</t>
  </si>
  <si>
    <t>ORD01283</t>
  </si>
  <si>
    <t>ORD01284</t>
  </si>
  <si>
    <t>ORD01285</t>
  </si>
  <si>
    <t>ORD01286</t>
  </si>
  <si>
    <t>ORD01287</t>
  </si>
  <si>
    <t>ORD01288</t>
  </si>
  <si>
    <t>ORD01289</t>
  </si>
  <si>
    <t>ORD01290</t>
  </si>
  <si>
    <t>ORD01291</t>
  </si>
  <si>
    <t>ORD01292</t>
  </si>
  <si>
    <t>ORD01293</t>
  </si>
  <si>
    <t>ORD01294</t>
  </si>
  <si>
    <t>ORD01295</t>
  </si>
  <si>
    <t>ORD01296</t>
  </si>
  <si>
    <t>ORD01297</t>
  </si>
  <si>
    <t>ORD01298</t>
  </si>
  <si>
    <t>ORD01299</t>
  </si>
  <si>
    <t>ORD01300</t>
  </si>
  <si>
    <t>ORD01301</t>
  </si>
  <si>
    <t>ORD01302</t>
  </si>
  <si>
    <t>ORD01303</t>
  </si>
  <si>
    <t>ORD01304</t>
  </si>
  <si>
    <t>ORD01305</t>
  </si>
  <si>
    <t>ORD01306</t>
  </si>
  <si>
    <t>ORD01307</t>
  </si>
  <si>
    <t>ORD01308</t>
  </si>
  <si>
    <t>ORD01309</t>
  </si>
  <si>
    <t>ORD01310</t>
  </si>
  <si>
    <t>ORD01311</t>
  </si>
  <si>
    <t>ORD01312</t>
  </si>
  <si>
    <t>ORD01313</t>
  </si>
  <si>
    <t>ORD01314</t>
  </si>
  <si>
    <t>ORD01315</t>
  </si>
  <si>
    <t>ORD01316</t>
  </si>
  <si>
    <t>ORD01317</t>
  </si>
  <si>
    <t>ORD01318</t>
  </si>
  <si>
    <t>ORD01319</t>
  </si>
  <si>
    <t>ORD01320</t>
  </si>
  <si>
    <t>ORD01321</t>
  </si>
  <si>
    <t>ORD01322</t>
  </si>
  <si>
    <t>ORD01323</t>
  </si>
  <si>
    <t>ORD01324</t>
  </si>
  <si>
    <t>CUST249</t>
  </si>
  <si>
    <t>ORD01325</t>
  </si>
  <si>
    <t>ORD01326</t>
  </si>
  <si>
    <t>ORD01327</t>
  </si>
  <si>
    <t>ORD01328</t>
  </si>
  <si>
    <t>ORD01329</t>
  </si>
  <si>
    <t>ORD01330</t>
  </si>
  <si>
    <t>ORD01331</t>
  </si>
  <si>
    <t>ORD01332</t>
  </si>
  <si>
    <t>ORD01333</t>
  </si>
  <si>
    <t>ORD01334</t>
  </si>
  <si>
    <t>ORD01335</t>
  </si>
  <si>
    <t>ORD01336</t>
  </si>
  <si>
    <t>ORD01337</t>
  </si>
  <si>
    <t>ORD01338</t>
  </si>
  <si>
    <t>ORD01339</t>
  </si>
  <si>
    <t>ORD01340</t>
  </si>
  <si>
    <t>ORD01341</t>
  </si>
  <si>
    <t>ORD01342</t>
  </si>
  <si>
    <t>ORD01343</t>
  </si>
  <si>
    <t>ORD01344</t>
  </si>
  <si>
    <t>ORD01345</t>
  </si>
  <si>
    <t>ORD01346</t>
  </si>
  <si>
    <t>ORD01347</t>
  </si>
  <si>
    <t>ORD01348</t>
  </si>
  <si>
    <t>ORD01349</t>
  </si>
  <si>
    <t>ORD01350</t>
  </si>
  <si>
    <t>ORD01351</t>
  </si>
  <si>
    <t>ORD01352</t>
  </si>
  <si>
    <t>ORD01353</t>
  </si>
  <si>
    <t>ORD01354</t>
  </si>
  <si>
    <t>ORD01355</t>
  </si>
  <si>
    <t>ORD01356</t>
  </si>
  <si>
    <t>ORD01357</t>
  </si>
  <si>
    <t>ORD01358</t>
  </si>
  <si>
    <t>CUST130</t>
  </si>
  <si>
    <t>ORD01359</t>
  </si>
  <si>
    <t>ORD01360</t>
  </si>
  <si>
    <t>ORD01361</t>
  </si>
  <si>
    <t>ORD01362</t>
  </si>
  <si>
    <t>ORD01363</t>
  </si>
  <si>
    <t>ORD01364</t>
  </si>
  <si>
    <t>ORD01365</t>
  </si>
  <si>
    <t>ORD01366</t>
  </si>
  <si>
    <t>ORD01367</t>
  </si>
  <si>
    <t>ORD01368</t>
  </si>
  <si>
    <t>ORD01369</t>
  </si>
  <si>
    <t>ORD01370</t>
  </si>
  <si>
    <t>ORD01371</t>
  </si>
  <si>
    <t>ORD01372</t>
  </si>
  <si>
    <t>ORD01373</t>
  </si>
  <si>
    <t>CUST182</t>
  </si>
  <si>
    <t>ORD01374</t>
  </si>
  <si>
    <t>ORD01375</t>
  </si>
  <si>
    <t>ORD01376</t>
  </si>
  <si>
    <t>ORD01377</t>
  </si>
  <si>
    <t>ORD01378</t>
  </si>
  <si>
    <t>ORD01379</t>
  </si>
  <si>
    <t>ORD01380</t>
  </si>
  <si>
    <t>ORD01381</t>
  </si>
  <si>
    <t>ORD01382</t>
  </si>
  <si>
    <t>ORD01383</t>
  </si>
  <si>
    <t>ORD01384</t>
  </si>
  <si>
    <t>ORD01385</t>
  </si>
  <si>
    <t>ORD01386</t>
  </si>
  <si>
    <t>ORD01387</t>
  </si>
  <si>
    <t>ORD01388</t>
  </si>
  <si>
    <t>ORD01389</t>
  </si>
  <si>
    <t>ORD01390</t>
  </si>
  <si>
    <t>ORD01391</t>
  </si>
  <si>
    <t>ORD01392</t>
  </si>
  <si>
    <t>ORD01393</t>
  </si>
  <si>
    <t>ORD01394</t>
  </si>
  <si>
    <t>ORD01395</t>
  </si>
  <si>
    <t>ORD01396</t>
  </si>
  <si>
    <t>ORD01397</t>
  </si>
  <si>
    <t>ORD01398</t>
  </si>
  <si>
    <t>ORD01399</t>
  </si>
  <si>
    <t>ORD01400</t>
  </si>
  <si>
    <t>ORD01401</t>
  </si>
  <si>
    <t>ORD01402</t>
  </si>
  <si>
    <t>ORD01403</t>
  </si>
  <si>
    <t>ORD01404</t>
  </si>
  <si>
    <t>ORD01405</t>
  </si>
  <si>
    <t>ORD01406</t>
  </si>
  <si>
    <t>ORD01407</t>
  </si>
  <si>
    <t>ORD01408</t>
  </si>
  <si>
    <t>ORD01409</t>
  </si>
  <si>
    <t>ORD01410</t>
  </si>
  <si>
    <t>ORD01411</t>
  </si>
  <si>
    <t>ORD01412</t>
  </si>
  <si>
    <t>ORD01413</t>
  </si>
  <si>
    <t>ORD01414</t>
  </si>
  <si>
    <t>ORD01415</t>
  </si>
  <si>
    <t>ORD01416</t>
  </si>
  <si>
    <t>ORD01417</t>
  </si>
  <si>
    <t>ORD01418</t>
  </si>
  <si>
    <t>ORD01419</t>
  </si>
  <si>
    <t>ORD01420</t>
  </si>
  <si>
    <t>ORD01421</t>
  </si>
  <si>
    <t>ORD01422</t>
  </si>
  <si>
    <t>ORD01423</t>
  </si>
  <si>
    <t>ORD01424</t>
  </si>
  <si>
    <t>ORD01425</t>
  </si>
  <si>
    <t>ORD01426</t>
  </si>
  <si>
    <t>ORD01427</t>
  </si>
  <si>
    <t>ORD01428</t>
  </si>
  <si>
    <t>ORD01429</t>
  </si>
  <si>
    <t>ORD01430</t>
  </si>
  <si>
    <t>ORD01431</t>
  </si>
  <si>
    <t>ORD01432</t>
  </si>
  <si>
    <t>ORD01433</t>
  </si>
  <si>
    <t>ORD01434</t>
  </si>
  <si>
    <t>ORD01435</t>
  </si>
  <si>
    <t>ORD01436</t>
  </si>
  <si>
    <t>ORD01437</t>
  </si>
  <si>
    <t>ORD01438</t>
  </si>
  <si>
    <t>ORD01439</t>
  </si>
  <si>
    <t>ORD01440</t>
  </si>
  <si>
    <t>ORD01441</t>
  </si>
  <si>
    <t>ORD01442</t>
  </si>
  <si>
    <t>ORD01443</t>
  </si>
  <si>
    <t>ORD01444</t>
  </si>
  <si>
    <t>ORD01445</t>
  </si>
  <si>
    <t>ORD01446</t>
  </si>
  <si>
    <t>ORD01447</t>
  </si>
  <si>
    <t>ORD01448</t>
  </si>
  <si>
    <t>ORD01449</t>
  </si>
  <si>
    <t>ORD01450</t>
  </si>
  <si>
    <t>ORD01451</t>
  </si>
  <si>
    <t>ORD01452</t>
  </si>
  <si>
    <t>ORD01453</t>
  </si>
  <si>
    <t>ORD01454</t>
  </si>
  <si>
    <t>ORD01455</t>
  </si>
  <si>
    <t>ORD01456</t>
  </si>
  <si>
    <t>ORD01457</t>
  </si>
  <si>
    <t>ORD01458</t>
  </si>
  <si>
    <t>ORD01459</t>
  </si>
  <si>
    <t>ORD01460</t>
  </si>
  <si>
    <t>ORD01461</t>
  </si>
  <si>
    <t>ORD01462</t>
  </si>
  <si>
    <t>ORD01463</t>
  </si>
  <si>
    <t>ORD01464</t>
  </si>
  <si>
    <t>ORD01465</t>
  </si>
  <si>
    <t>ORD01466</t>
  </si>
  <si>
    <t>ORD01467</t>
  </si>
  <si>
    <t>ORD01468</t>
  </si>
  <si>
    <t>ORD01469</t>
  </si>
  <si>
    <t>ORD01470</t>
  </si>
  <si>
    <t>ORD01471</t>
  </si>
  <si>
    <t>ORD01472</t>
  </si>
  <si>
    <t>ORD01473</t>
  </si>
  <si>
    <t>ORD01474</t>
  </si>
  <si>
    <t>ORD01475</t>
  </si>
  <si>
    <t>ORD01476</t>
  </si>
  <si>
    <t>ORD01477</t>
  </si>
  <si>
    <t>ORD01478</t>
  </si>
  <si>
    <t>ORD01479</t>
  </si>
  <si>
    <t>ORD01480</t>
  </si>
  <si>
    <t>ORD01481</t>
  </si>
  <si>
    <t>ORD01482</t>
  </si>
  <si>
    <t>ORD01483</t>
  </si>
  <si>
    <t>ORD01484</t>
  </si>
  <si>
    <t>ORD01485</t>
  </si>
  <si>
    <t>ORD01486</t>
  </si>
  <si>
    <t>ORD01487</t>
  </si>
  <si>
    <t>ORD01488</t>
  </si>
  <si>
    <t>ORD01489</t>
  </si>
  <si>
    <t>ORD01490</t>
  </si>
  <si>
    <t>ORD01491</t>
  </si>
  <si>
    <t>ORD01492</t>
  </si>
  <si>
    <t>ORD01493</t>
  </si>
  <si>
    <t>ORD01494</t>
  </si>
  <si>
    <t>ORD01495</t>
  </si>
  <si>
    <t>ORD01496</t>
  </si>
  <si>
    <t>ORD01497</t>
  </si>
  <si>
    <t>ORD01498</t>
  </si>
  <si>
    <t>ORD01499</t>
  </si>
  <si>
    <t>ORD01500</t>
  </si>
  <si>
    <t>Customer_Name</t>
  </si>
  <si>
    <t>Segment</t>
  </si>
  <si>
    <t>Customer 1</t>
  </si>
  <si>
    <t>SMB</t>
  </si>
  <si>
    <t>Customer 2</t>
  </si>
  <si>
    <t>Consumer</t>
  </si>
  <si>
    <t>Customer 3</t>
  </si>
  <si>
    <t>Corporate</t>
  </si>
  <si>
    <t>Customer 4</t>
  </si>
  <si>
    <t>Customer 5</t>
  </si>
  <si>
    <t>Customer 6</t>
  </si>
  <si>
    <t>Customer 7</t>
  </si>
  <si>
    <t>Customer 8</t>
  </si>
  <si>
    <t>Customer 9</t>
  </si>
  <si>
    <t>Customer 10</t>
  </si>
  <si>
    <t>Customer 11</t>
  </si>
  <si>
    <t>Customer 12</t>
  </si>
  <si>
    <t>Customer 13</t>
  </si>
  <si>
    <t>Customer 14</t>
  </si>
  <si>
    <t>Customer 15</t>
  </si>
  <si>
    <t>Customer 16</t>
  </si>
  <si>
    <t>Customer 17</t>
  </si>
  <si>
    <t>Customer 18</t>
  </si>
  <si>
    <t>Customer 19</t>
  </si>
  <si>
    <t>Customer 20</t>
  </si>
  <si>
    <t>Customer 21</t>
  </si>
  <si>
    <t>Customer 22</t>
  </si>
  <si>
    <t>Customer 23</t>
  </si>
  <si>
    <t>Customer 24</t>
  </si>
  <si>
    <t>Customer 25</t>
  </si>
  <si>
    <t>Customer 26</t>
  </si>
  <si>
    <t>Customer 27</t>
  </si>
  <si>
    <t>Customer 28</t>
  </si>
  <si>
    <t>Customer 29</t>
  </si>
  <si>
    <t>Customer 30</t>
  </si>
  <si>
    <t>Customer 31</t>
  </si>
  <si>
    <t>Customer 32</t>
  </si>
  <si>
    <t>Customer 33</t>
  </si>
  <si>
    <t>Customer 34</t>
  </si>
  <si>
    <t>Customer 35</t>
  </si>
  <si>
    <t>Customer 36</t>
  </si>
  <si>
    <t>Customer 37</t>
  </si>
  <si>
    <t>Customer 38</t>
  </si>
  <si>
    <t>Customer 39</t>
  </si>
  <si>
    <t>Customer 40</t>
  </si>
  <si>
    <t>Customer 41</t>
  </si>
  <si>
    <t>Customer 42</t>
  </si>
  <si>
    <t>Customer 43</t>
  </si>
  <si>
    <t>Customer 44</t>
  </si>
  <si>
    <t>Customer 45</t>
  </si>
  <si>
    <t>Customer 46</t>
  </si>
  <si>
    <t>Customer 47</t>
  </si>
  <si>
    <t>Customer 48</t>
  </si>
  <si>
    <t>Customer 49</t>
  </si>
  <si>
    <t>Customer 50</t>
  </si>
  <si>
    <t>Customer 51</t>
  </si>
  <si>
    <t>Customer 52</t>
  </si>
  <si>
    <t>Customer 53</t>
  </si>
  <si>
    <t>Customer 54</t>
  </si>
  <si>
    <t>Customer 55</t>
  </si>
  <si>
    <t>Customer 56</t>
  </si>
  <si>
    <t>Customer 57</t>
  </si>
  <si>
    <t>Customer 58</t>
  </si>
  <si>
    <t>Customer 59</t>
  </si>
  <si>
    <t>Customer 60</t>
  </si>
  <si>
    <t>Customer 61</t>
  </si>
  <si>
    <t>Customer 62</t>
  </si>
  <si>
    <t>Customer 63</t>
  </si>
  <si>
    <t>Customer 64</t>
  </si>
  <si>
    <t>Customer 65</t>
  </si>
  <si>
    <t>Customer 66</t>
  </si>
  <si>
    <t>Customer 67</t>
  </si>
  <si>
    <t>Customer 68</t>
  </si>
  <si>
    <t>Customer 69</t>
  </si>
  <si>
    <t>Customer 70</t>
  </si>
  <si>
    <t>Customer 71</t>
  </si>
  <si>
    <t>Customer 72</t>
  </si>
  <si>
    <t>Customer 73</t>
  </si>
  <si>
    <t>Customer 74</t>
  </si>
  <si>
    <t>Customer 75</t>
  </si>
  <si>
    <t>Customer 76</t>
  </si>
  <si>
    <t>Customer 77</t>
  </si>
  <si>
    <t>Customer 78</t>
  </si>
  <si>
    <t>Customer 79</t>
  </si>
  <si>
    <t>Customer 80</t>
  </si>
  <si>
    <t>Customer 81</t>
  </si>
  <si>
    <t>Customer 82</t>
  </si>
  <si>
    <t>Customer 83</t>
  </si>
  <si>
    <t>Customer 84</t>
  </si>
  <si>
    <t>Customer 85</t>
  </si>
  <si>
    <t>Customer 86</t>
  </si>
  <si>
    <t>Customer 87</t>
  </si>
  <si>
    <t>Customer 88</t>
  </si>
  <si>
    <t>Customer 89</t>
  </si>
  <si>
    <t>Customer 90</t>
  </si>
  <si>
    <t>Customer 91</t>
  </si>
  <si>
    <t>Customer 92</t>
  </si>
  <si>
    <t>Customer 93</t>
  </si>
  <si>
    <t>Customer 94</t>
  </si>
  <si>
    <t>Customer 95</t>
  </si>
  <si>
    <t>Customer 96</t>
  </si>
  <si>
    <t>Customer 97</t>
  </si>
  <si>
    <t>Customer 98</t>
  </si>
  <si>
    <t>Customer 99</t>
  </si>
  <si>
    <t>Customer 100</t>
  </si>
  <si>
    <t>Customer 101</t>
  </si>
  <si>
    <t>Customer 102</t>
  </si>
  <si>
    <t>Customer 103</t>
  </si>
  <si>
    <t>Customer 104</t>
  </si>
  <si>
    <t>Customer 105</t>
  </si>
  <si>
    <t>Customer 106</t>
  </si>
  <si>
    <t>Customer 107</t>
  </si>
  <si>
    <t>Customer 108</t>
  </si>
  <si>
    <t>Customer 109</t>
  </si>
  <si>
    <t>Customer 110</t>
  </si>
  <si>
    <t>Customer 111</t>
  </si>
  <si>
    <t>Customer 112</t>
  </si>
  <si>
    <t>Customer 113</t>
  </si>
  <si>
    <t>Customer 114</t>
  </si>
  <si>
    <t>Customer 115</t>
  </si>
  <si>
    <t>Customer 116</t>
  </si>
  <si>
    <t>Customer 117</t>
  </si>
  <si>
    <t>Customer 118</t>
  </si>
  <si>
    <t>Customer 119</t>
  </si>
  <si>
    <t>Customer 120</t>
  </si>
  <si>
    <t>Customer 121</t>
  </si>
  <si>
    <t>Customer 122</t>
  </si>
  <si>
    <t>Customer 123</t>
  </si>
  <si>
    <t>Customer 124</t>
  </si>
  <si>
    <t>Customer 125</t>
  </si>
  <si>
    <t>Customer 126</t>
  </si>
  <si>
    <t>Customer 127</t>
  </si>
  <si>
    <t>Customer 128</t>
  </si>
  <si>
    <t>Customer 129</t>
  </si>
  <si>
    <t>Customer 130</t>
  </si>
  <si>
    <t>Customer 131</t>
  </si>
  <si>
    <t>Customer 132</t>
  </si>
  <si>
    <t>Customer 133</t>
  </si>
  <si>
    <t>Customer 134</t>
  </si>
  <si>
    <t>Customer 135</t>
  </si>
  <si>
    <t>Customer 136</t>
  </si>
  <si>
    <t>Customer 137</t>
  </si>
  <si>
    <t>Customer 138</t>
  </si>
  <si>
    <t>Customer 139</t>
  </si>
  <si>
    <t>Customer 140</t>
  </si>
  <si>
    <t>Customer 141</t>
  </si>
  <si>
    <t>Customer 142</t>
  </si>
  <si>
    <t>Customer 143</t>
  </si>
  <si>
    <t>Customer 144</t>
  </si>
  <si>
    <t>Customer 145</t>
  </si>
  <si>
    <t>Customer 146</t>
  </si>
  <si>
    <t>Customer 147</t>
  </si>
  <si>
    <t>Customer 148</t>
  </si>
  <si>
    <t>Customer 149</t>
  </si>
  <si>
    <t>Customer 150</t>
  </si>
  <si>
    <t>Customer 151</t>
  </si>
  <si>
    <t>Customer 152</t>
  </si>
  <si>
    <t>Customer 153</t>
  </si>
  <si>
    <t>Customer 154</t>
  </si>
  <si>
    <t>Customer 155</t>
  </si>
  <si>
    <t>Customer 156</t>
  </si>
  <si>
    <t>Customer 157</t>
  </si>
  <si>
    <t>Customer 158</t>
  </si>
  <si>
    <t>Customer 159</t>
  </si>
  <si>
    <t>Customer 160</t>
  </si>
  <si>
    <t>Customer 161</t>
  </si>
  <si>
    <t>Customer 162</t>
  </si>
  <si>
    <t>Customer 163</t>
  </si>
  <si>
    <t>Customer 164</t>
  </si>
  <si>
    <t>Customer 165</t>
  </si>
  <si>
    <t>Customer 166</t>
  </si>
  <si>
    <t>Customer 167</t>
  </si>
  <si>
    <t>Customer 168</t>
  </si>
  <si>
    <t>Customer 169</t>
  </si>
  <si>
    <t>Customer 170</t>
  </si>
  <si>
    <t>Customer 171</t>
  </si>
  <si>
    <t>Customer 172</t>
  </si>
  <si>
    <t>Customer 173</t>
  </si>
  <si>
    <t>Customer 174</t>
  </si>
  <si>
    <t>Customer 175</t>
  </si>
  <si>
    <t>Customer 176</t>
  </si>
  <si>
    <t>Customer 177</t>
  </si>
  <si>
    <t>Customer 178</t>
  </si>
  <si>
    <t>Customer 179</t>
  </si>
  <si>
    <t>Customer 180</t>
  </si>
  <si>
    <t>Customer 181</t>
  </si>
  <si>
    <t>Customer 182</t>
  </si>
  <si>
    <t>Customer 183</t>
  </si>
  <si>
    <t>Customer 184</t>
  </si>
  <si>
    <t>Customer 185</t>
  </si>
  <si>
    <t>Customer 186</t>
  </si>
  <si>
    <t>Customer 187</t>
  </si>
  <si>
    <t>Customer 188</t>
  </si>
  <si>
    <t>Customer 189</t>
  </si>
  <si>
    <t>Customer 190</t>
  </si>
  <si>
    <t>Customer 191</t>
  </si>
  <si>
    <t>Customer 192</t>
  </si>
  <si>
    <t>Customer 193</t>
  </si>
  <si>
    <t>Customer 194</t>
  </si>
  <si>
    <t>Customer 195</t>
  </si>
  <si>
    <t>Customer 196</t>
  </si>
  <si>
    <t>Customer 197</t>
  </si>
  <si>
    <t>Customer 198</t>
  </si>
  <si>
    <t>Customer 199</t>
  </si>
  <si>
    <t>Customer 200</t>
  </si>
  <si>
    <t>Customer 201</t>
  </si>
  <si>
    <t>Customer 202</t>
  </si>
  <si>
    <t>Customer 203</t>
  </si>
  <si>
    <t>Customer 204</t>
  </si>
  <si>
    <t>Customer 205</t>
  </si>
  <si>
    <t>Customer 206</t>
  </si>
  <si>
    <t>Customer 207</t>
  </si>
  <si>
    <t>Customer 208</t>
  </si>
  <si>
    <t>Customer 209</t>
  </si>
  <si>
    <t>Customer 210</t>
  </si>
  <si>
    <t>Customer 211</t>
  </si>
  <si>
    <t>Customer 212</t>
  </si>
  <si>
    <t>Customer 213</t>
  </si>
  <si>
    <t>Customer 214</t>
  </si>
  <si>
    <t>Customer 215</t>
  </si>
  <si>
    <t>Customer 216</t>
  </si>
  <si>
    <t>CUST217</t>
  </si>
  <si>
    <t>Customer 217</t>
  </si>
  <si>
    <t>Customer 218</t>
  </si>
  <si>
    <t>Customer 219</t>
  </si>
  <si>
    <t>Customer 220</t>
  </si>
  <si>
    <t>Customer 221</t>
  </si>
  <si>
    <t>Customer 222</t>
  </si>
  <si>
    <t>Customer 223</t>
  </si>
  <si>
    <t>Customer 224</t>
  </si>
  <si>
    <t>Customer 225</t>
  </si>
  <si>
    <t>Customer 226</t>
  </si>
  <si>
    <t>Customer 227</t>
  </si>
  <si>
    <t>Customer 228</t>
  </si>
  <si>
    <t>Customer 229</t>
  </si>
  <si>
    <t>Customer 230</t>
  </si>
  <si>
    <t>Customer 231</t>
  </si>
  <si>
    <t>Customer 232</t>
  </si>
  <si>
    <t>Customer 233</t>
  </si>
  <si>
    <t>Customer 234</t>
  </si>
  <si>
    <t>Customer 235</t>
  </si>
  <si>
    <t>Customer 236</t>
  </si>
  <si>
    <t>Customer 237</t>
  </si>
  <si>
    <t>Customer 238</t>
  </si>
  <si>
    <t>Customer 239</t>
  </si>
  <si>
    <t>Customer 240</t>
  </si>
  <si>
    <t>Customer 241</t>
  </si>
  <si>
    <t>Customer 242</t>
  </si>
  <si>
    <t>Customer 243</t>
  </si>
  <si>
    <t>Customer 244</t>
  </si>
  <si>
    <t>Customer 245</t>
  </si>
  <si>
    <t>Customer 246</t>
  </si>
  <si>
    <t>Customer 247</t>
  </si>
  <si>
    <t>Customer 248</t>
  </si>
  <si>
    <t>Customer 249</t>
  </si>
  <si>
    <t>Customer 250</t>
  </si>
  <si>
    <t>Customer 251</t>
  </si>
  <si>
    <t>Customer 252</t>
  </si>
  <si>
    <t>Customer 253</t>
  </si>
  <si>
    <t>Customer 254</t>
  </si>
  <si>
    <t>Customer 255</t>
  </si>
  <si>
    <t>Customer 256</t>
  </si>
  <si>
    <t>Customer 257</t>
  </si>
  <si>
    <t>Customer 258</t>
  </si>
  <si>
    <t>Customer 259</t>
  </si>
  <si>
    <t>Customer 260</t>
  </si>
  <si>
    <t>Customer 261</t>
  </si>
  <si>
    <t>Customer 262</t>
  </si>
  <si>
    <t>Customer 263</t>
  </si>
  <si>
    <t>Customer 264</t>
  </si>
  <si>
    <t>Customer 265</t>
  </si>
  <si>
    <t>Customer 266</t>
  </si>
  <si>
    <t>Customer 267</t>
  </si>
  <si>
    <t>Customer 268</t>
  </si>
  <si>
    <t>Customer 269</t>
  </si>
  <si>
    <t>Customer 270</t>
  </si>
  <si>
    <t>Customer 271</t>
  </si>
  <si>
    <t>Customer 272</t>
  </si>
  <si>
    <t>Customer 273</t>
  </si>
  <si>
    <t>Customer 274</t>
  </si>
  <si>
    <t>Customer 275</t>
  </si>
  <si>
    <t>Customer 276</t>
  </si>
  <si>
    <t>Customer 277</t>
  </si>
  <si>
    <t>Customer 278</t>
  </si>
  <si>
    <t>Customer 279</t>
  </si>
  <si>
    <t>Customer 280</t>
  </si>
  <si>
    <t>Customer 281</t>
  </si>
  <si>
    <t>Customer 282</t>
  </si>
  <si>
    <t>Customer 283</t>
  </si>
  <si>
    <t>Customer 284</t>
  </si>
  <si>
    <t>Customer 285</t>
  </si>
  <si>
    <t>Customer 286</t>
  </si>
  <si>
    <t>Customer 287</t>
  </si>
  <si>
    <t>Customer 288</t>
  </si>
  <si>
    <t>Customer 289</t>
  </si>
  <si>
    <t>Customer 290</t>
  </si>
  <si>
    <t>Customer 291</t>
  </si>
  <si>
    <t>Customer 292</t>
  </si>
  <si>
    <t>Customer 293</t>
  </si>
  <si>
    <t>Customer 294</t>
  </si>
  <si>
    <t>Customer 295</t>
  </si>
  <si>
    <t>Customer 296</t>
  </si>
  <si>
    <t>Customer 297</t>
  </si>
  <si>
    <t>Customer 298</t>
  </si>
  <si>
    <t>Customer 299</t>
  </si>
  <si>
    <t>Customer 300</t>
  </si>
  <si>
    <t>Category</t>
  </si>
  <si>
    <t>Computers</t>
  </si>
  <si>
    <t>Mobile</t>
  </si>
  <si>
    <t>Accessories</t>
  </si>
  <si>
    <t>Sum of Revenue</t>
  </si>
  <si>
    <t>Grand Total</t>
  </si>
  <si>
    <t>% of total 'Revenue' by 'Region'</t>
  </si>
  <si>
    <t>Sum of total 'Revenue' by 'Product'</t>
  </si>
  <si>
    <t>Column Labels</t>
  </si>
  <si>
    <t>2023</t>
  </si>
  <si>
    <t>Jan</t>
  </si>
  <si>
    <t>Feb</t>
  </si>
  <si>
    <t>Mar</t>
  </si>
  <si>
    <t>Apr</t>
  </si>
  <si>
    <t>May</t>
  </si>
  <si>
    <t>Jun</t>
  </si>
  <si>
    <t>Jul</t>
  </si>
  <si>
    <t>Aug</t>
  </si>
  <si>
    <t>Sep</t>
  </si>
  <si>
    <t>Oct</t>
  </si>
  <si>
    <t>Nov</t>
  </si>
  <si>
    <t>Dec</t>
  </si>
  <si>
    <t>2024</t>
  </si>
  <si>
    <t>Unit price</t>
  </si>
  <si>
    <t>Rank</t>
  </si>
  <si>
    <t>Percentile</t>
  </si>
  <si>
    <t>Customer Segment</t>
  </si>
  <si>
    <t>Revenue by product</t>
  </si>
  <si>
    <t>Sales by product</t>
  </si>
  <si>
    <t>% Revenue by region</t>
  </si>
  <si>
    <t>% of Revenue by product</t>
  </si>
  <si>
    <t>Revenue by month</t>
  </si>
  <si>
    <t>Month</t>
  </si>
  <si>
    <t>Revenue by month in 2023 &amp;2024</t>
  </si>
  <si>
    <t>Value Tier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</si>
</sst>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0.000"/>
  </numFmts>
  <fonts count="5" x14ac:knownFonts="1">
    <font>
      <sz val="11"/>
      <color theme="1"/>
      <name val="Calibri"/>
      <family val="2"/>
      <scheme val="minor"/>
    </font>
    <font>
      <b/>
      <i/>
      <sz val="11"/>
      <color rgb="FF000000"/>
      <name val="Calibri"/>
      <scheme val="minor"/>
    </font>
    <font>
      <b/>
      <i/>
      <sz val="11"/>
      <color rgb="FF000000"/>
      <name val="Calibri"/>
      <family val="2"/>
      <scheme val="minor"/>
    </font>
    <font>
      <b/>
      <sz val="12"/>
      <color theme="1"/>
      <name val="Calibri"/>
      <family val="2"/>
      <scheme val="minor"/>
    </font>
    <font>
      <b/>
      <i/>
      <sz val="14"/>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5">
    <xf numFmtId="0" fontId="0" fillId="0" borderId="0" xfId="0"/>
    <xf numFmtId="164" fontId="0" fillId="0" borderId="0" xfId="0" applyNumberFormat="1"/>
    <xf numFmtId="0" fontId="0" fillId="0" borderId="0" xfId="0" pivotButton="1"/>
    <xf numFmtId="0" fontId="1" fillId="0" borderId="0" xfId="0" applyFont="1" applyAlignment="1">
      <alignment horizontal="left" vertical="center"/>
    </xf>
    <xf numFmtId="0" fontId="2" fillId="0" borderId="0" xfId="0" applyFont="1" applyAlignment="1">
      <alignment horizontal="left" vertical="center"/>
    </xf>
    <xf numFmtId="9" fontId="0" fillId="0" borderId="0" xfId="0" applyNumberFormat="1"/>
    <xf numFmtId="0" fontId="0" fillId="0" borderId="0" xfId="0" applyAlignment="1">
      <alignment horizontal="left"/>
    </xf>
    <xf numFmtId="1" fontId="0" fillId="0" borderId="0" xfId="0" applyNumberFormat="1"/>
    <xf numFmtId="165" fontId="0" fillId="0" borderId="0" xfId="0" applyNumberFormat="1"/>
    <xf numFmtId="0" fontId="3" fillId="0" borderId="0" xfId="0" applyFont="1"/>
    <xf numFmtId="10" fontId="0" fillId="0" borderId="0" xfId="0" applyNumberFormat="1"/>
    <xf numFmtId="0" fontId="4" fillId="0" borderId="0" xfId="0" applyFont="1" applyAlignment="1">
      <alignment horizontal="center"/>
    </xf>
    <xf numFmtId="0" fontId="0" fillId="0" borderId="0" xfId="0" applyAlignment="1">
      <alignment horizontal="center"/>
    </xf>
    <xf numFmtId="0" fontId="3" fillId="0" borderId="0" xfId="0" applyFont="1" applyAlignment="1">
      <alignment horizontal="center"/>
    </xf>
    <xf numFmtId="0" fontId="3" fillId="0" borderId="0" xfId="0" applyFont="1" applyAlignment="1">
      <alignment horizontal="center" vertical="center"/>
    </xf>
  </cellXfs>
  <cellStyles count="1">
    <cellStyle name="Normal" xfId="0" builtinId="0"/>
  </cellStyles>
  <dxfs count="12">
    <dxf>
      <fill>
        <patternFill>
          <bgColor rgb="FF92D050"/>
        </patternFill>
      </fill>
    </dxf>
    <dxf>
      <alignment wrapText="0"/>
    </dxf>
    <dxf>
      <numFmt numFmtId="13" formatCode="0%"/>
    </dxf>
    <dxf>
      <alignment wrapText="0"/>
    </dxf>
    <dxf>
      <alignment wrapText="0"/>
    </dxf>
    <dxf>
      <alignment wrapText="0"/>
    </dxf>
    <dxf>
      <alignment wrapText="0"/>
    </dxf>
    <dxf>
      <alignment wrapText="0"/>
    </dxf>
    <dxf>
      <numFmt numFmtId="13" formatCode="0%"/>
    </dxf>
    <dxf>
      <numFmt numFmtId="1" formatCode="0"/>
    </dxf>
    <dxf>
      <numFmt numFmtId="0" formatCode="General"/>
    </dxf>
    <dxf>
      <numFmt numFmtId="164" formatCode="yyyy\-mm\-dd"/>
    </dxf>
  </dxfs>
  <tableStyles count="0" defaultTableStyle="TableStyleMedium9" defaultPivotStyle="PivotStyleLight16"/>
  <colors>
    <mruColors>
      <color rgb="FFFFD243"/>
      <color rgb="FFFF4747"/>
      <color rgb="FFFF3F3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theme" Target="theme/theme1.xml"/><Relationship Id="rId18" Type="http://schemas.openxmlformats.org/officeDocument/2006/relationships/powerPivotData" Target="model/item.data"/><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microsoft.com/office/2011/relationships/timelineCache" Target="timelineCaches/timelineCache1.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5.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[Business_Sales_Portfolio_Project.xlsx]Analysis!PivotTable3</c:name>
    <c:fmtId val="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 of Revenue by Region</a:t>
            </a:r>
          </a:p>
        </c:rich>
      </c:tx>
      <c:layout>
        <c:manualLayout>
          <c:xMode val="edge"/>
          <c:yMode val="edge"/>
          <c:x val="0.2728173951172182"/>
          <c:y val="6.018518518518518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oundRectCallout">
                  <a:avLst/>
                </a:prstGeom>
                <a:noFill/>
                <a:ln>
                  <a:noFill/>
                </a:ln>
              </c15:spPr>
            </c:ext>
          </c:extLst>
        </c:dLbl>
      </c:pivotFmt>
      <c:pivotFmt>
        <c:idx val="6"/>
        <c:spPr>
          <a:solidFill>
            <a:schemeClr val="accent1"/>
          </a:solidFill>
          <a:ln>
            <a:noFill/>
          </a:ln>
          <a:effectLst/>
        </c:spPr>
        <c:dLbl>
          <c:idx val="0"/>
          <c:layout>
            <c:manualLayout>
              <c:x val="-0.18209854865097141"/>
              <c:y val="-8.564833041703121E-2"/>
            </c:manualLayout>
          </c:layout>
          <c:spPr>
            <a:noFill/>
            <a:ln>
              <a:solidFill>
                <a:sysClr val="window" lastClr="FFFFFF"/>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oundRectCallout">
                  <a:avLst/>
                </a:prstGeom>
                <a:noFill/>
                <a:ln>
                  <a:noFill/>
                </a:ln>
              </c15:spPr>
              <c15:layout>
                <c:manualLayout>
                  <c:w val="0.13882508626325232"/>
                  <c:h val="0.1592986293379994"/>
                </c:manualLayout>
              </c15:layout>
            </c:ext>
          </c:extLst>
        </c:dLbl>
      </c:pivotFmt>
      <c:pivotFmt>
        <c:idx val="7"/>
        <c:spPr>
          <a:solidFill>
            <a:schemeClr val="accent1"/>
          </a:solidFill>
          <a:ln>
            <a:noFill/>
          </a:ln>
          <a:effectLst/>
        </c:spPr>
        <c:dLbl>
          <c:idx val="0"/>
          <c:layout>
            <c:manualLayout>
              <c:x val="-0.17123926814963911"/>
              <c:y val="0.10416666666666649"/>
            </c:manualLayout>
          </c:layout>
          <c:spPr>
            <a:noFill/>
            <a:ln>
              <a:solidFill>
                <a:sysClr val="window" lastClr="FFFFFF"/>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oundRectCallout">
                  <a:avLst/>
                </a:prstGeom>
                <a:noFill/>
                <a:ln>
                  <a:noFill/>
                </a:ln>
              </c15:spPr>
              <c15:layout>
                <c:manualLayout>
                  <c:w val="0.14749413873780062"/>
                  <c:h val="0.14303769320501605"/>
                </c:manualLayout>
              </c15:layout>
            </c:ext>
          </c:extLst>
        </c:dLbl>
      </c:pivotFmt>
      <c:pivotFmt>
        <c:idx val="8"/>
        <c:spPr>
          <a:solidFill>
            <a:schemeClr val="accent1"/>
          </a:solidFill>
          <a:ln>
            <a:noFill/>
          </a:ln>
          <a:effectLst/>
        </c:spPr>
        <c:dLbl>
          <c:idx val="0"/>
          <c:layout>
            <c:manualLayout>
              <c:x val="0.19637674470174071"/>
              <c:y val="-0.1111111111111111"/>
            </c:manualLayout>
          </c:layout>
          <c:spPr>
            <a:noFill/>
            <a:ln>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oundRectCallout">
                  <a:avLst/>
                </a:prstGeom>
                <a:noFill/>
                <a:ln>
                  <a:noFill/>
                </a:ln>
              </c15:spPr>
              <c15:layout>
                <c:manualLayout>
                  <c:w val="0.14280146664314633"/>
                  <c:h val="0.16618584135316422"/>
                </c:manualLayout>
              </c15:layout>
            </c:ext>
          </c:extLst>
        </c:dLbl>
      </c:pivotFmt>
      <c:pivotFmt>
        <c:idx val="9"/>
        <c:spPr>
          <a:solidFill>
            <a:schemeClr val="accent1"/>
          </a:solidFill>
          <a:ln>
            <a:noFill/>
          </a:ln>
          <a:effectLst/>
        </c:spPr>
        <c:dLbl>
          <c:idx val="0"/>
          <c:layout>
            <c:manualLayout>
              <c:x val="0.22428494884482558"/>
              <c:y val="4.6296296296296294E-2"/>
            </c:manualLayout>
          </c:layout>
          <c:spPr>
            <a:noFill/>
            <a:ln>
              <a:solidFill>
                <a:sysClr val="window" lastClr="FFFFFF"/>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oundRectCallout">
                  <a:avLst/>
                </a:prstGeom>
                <a:noFill/>
                <a:ln>
                  <a:noFill/>
                </a:ln>
              </c15:spPr>
              <c15:layout>
                <c:manualLayout>
                  <c:w val="0.15744409292809189"/>
                  <c:h val="0.14766732283464568"/>
                </c:manualLayout>
              </c15:layout>
            </c:ext>
          </c:extLst>
        </c:dLbl>
      </c:pivotFmt>
    </c:pivotFmts>
    <c:plotArea>
      <c:layout/>
      <c:doughnutChart>
        <c:varyColors val="1"/>
        <c:ser>
          <c:idx val="0"/>
          <c:order val="0"/>
          <c:tx>
            <c:strRef>
              <c:f>Analysis!$P$19</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7-A9BE-4C39-A090-50F255976FEC}"/>
              </c:ext>
            </c:extLst>
          </c:dPt>
          <c:dPt>
            <c:idx val="1"/>
            <c:bubble3D val="0"/>
            <c:spPr>
              <a:solidFill>
                <a:schemeClr val="accent2"/>
              </a:solidFill>
              <a:ln>
                <a:noFill/>
              </a:ln>
              <a:effectLst/>
            </c:spPr>
            <c:extLst>
              <c:ext xmlns:c16="http://schemas.microsoft.com/office/drawing/2014/chart" uri="{C3380CC4-5D6E-409C-BE32-E72D297353CC}">
                <c16:uniqueId val="{00000008-A9BE-4C39-A090-50F255976FEC}"/>
              </c:ext>
            </c:extLst>
          </c:dPt>
          <c:dPt>
            <c:idx val="2"/>
            <c:bubble3D val="0"/>
            <c:spPr>
              <a:solidFill>
                <a:schemeClr val="accent3"/>
              </a:solidFill>
              <a:ln>
                <a:noFill/>
              </a:ln>
              <a:effectLst/>
            </c:spPr>
            <c:extLst>
              <c:ext xmlns:c16="http://schemas.microsoft.com/office/drawing/2014/chart" uri="{C3380CC4-5D6E-409C-BE32-E72D297353CC}">
                <c16:uniqueId val="{0000000A-A9BE-4C39-A090-50F255976FEC}"/>
              </c:ext>
            </c:extLst>
          </c:dPt>
          <c:dPt>
            <c:idx val="3"/>
            <c:bubble3D val="0"/>
            <c:spPr>
              <a:solidFill>
                <a:schemeClr val="accent4"/>
              </a:solidFill>
              <a:ln>
                <a:noFill/>
              </a:ln>
              <a:effectLst/>
            </c:spPr>
            <c:extLst>
              <c:ext xmlns:c16="http://schemas.microsoft.com/office/drawing/2014/chart" uri="{C3380CC4-5D6E-409C-BE32-E72D297353CC}">
                <c16:uniqueId val="{00000009-A9BE-4C39-A090-50F255976FEC}"/>
              </c:ext>
            </c:extLst>
          </c:dPt>
          <c:dLbls>
            <c:dLbl>
              <c:idx val="0"/>
              <c:layout>
                <c:manualLayout>
                  <c:x val="0.19637674470174071"/>
                  <c:y val="-0.1111111111111111"/>
                </c:manualLayout>
              </c:layout>
              <c:showLegendKey val="0"/>
              <c:showVal val="0"/>
              <c:showCatName val="1"/>
              <c:showSerName val="0"/>
              <c:showPercent val="1"/>
              <c:showBubbleSize val="0"/>
              <c:separator>
</c:separator>
              <c:extLst>
                <c:ext xmlns:c15="http://schemas.microsoft.com/office/drawing/2012/chart" uri="{CE6537A1-D6FC-4f65-9D91-7224C49458BB}">
                  <c15:layout>
                    <c:manualLayout>
                      <c:w val="0.14280146664314633"/>
                      <c:h val="0.16618584135316422"/>
                    </c:manualLayout>
                  </c15:layout>
                </c:ext>
                <c:ext xmlns:c16="http://schemas.microsoft.com/office/drawing/2014/chart" uri="{C3380CC4-5D6E-409C-BE32-E72D297353CC}">
                  <c16:uniqueId val="{00000007-A9BE-4C39-A090-50F255976FEC}"/>
                </c:ext>
              </c:extLst>
            </c:dLbl>
            <c:dLbl>
              <c:idx val="1"/>
              <c:layout>
                <c:manualLayout>
                  <c:x val="0.22428494884482558"/>
                  <c:y val="4.6296296296296294E-2"/>
                </c:manualLayout>
              </c:layout>
              <c:spPr>
                <a:noFill/>
                <a:ln>
                  <a:solidFill>
                    <a:sysClr val="window" lastClr="FFFFFF"/>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oundRectCallout">
                      <a:avLst/>
                    </a:prstGeom>
                    <a:noFill/>
                    <a:ln>
                      <a:noFill/>
                    </a:ln>
                  </c15:spPr>
                  <c15:layout>
                    <c:manualLayout>
                      <c:w val="0.15744409292809189"/>
                      <c:h val="0.14766732283464568"/>
                    </c:manualLayout>
                  </c15:layout>
                </c:ext>
                <c:ext xmlns:c16="http://schemas.microsoft.com/office/drawing/2014/chart" uri="{C3380CC4-5D6E-409C-BE32-E72D297353CC}">
                  <c16:uniqueId val="{00000008-A9BE-4C39-A090-50F255976FEC}"/>
                </c:ext>
              </c:extLst>
            </c:dLbl>
            <c:dLbl>
              <c:idx val="2"/>
              <c:layout>
                <c:manualLayout>
                  <c:x val="-0.17123926814963911"/>
                  <c:y val="0.10416666666666649"/>
                </c:manualLayout>
              </c:layout>
              <c:spPr>
                <a:noFill/>
                <a:ln>
                  <a:solidFill>
                    <a:sysClr val="window" lastClr="FFFFFF"/>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oundRectCallout">
                      <a:avLst/>
                    </a:prstGeom>
                    <a:noFill/>
                    <a:ln>
                      <a:noFill/>
                    </a:ln>
                  </c15:spPr>
                  <c15:layout>
                    <c:manualLayout>
                      <c:w val="0.14749413873780062"/>
                      <c:h val="0.14303769320501605"/>
                    </c:manualLayout>
                  </c15:layout>
                </c:ext>
                <c:ext xmlns:c16="http://schemas.microsoft.com/office/drawing/2014/chart" uri="{C3380CC4-5D6E-409C-BE32-E72D297353CC}">
                  <c16:uniqueId val="{0000000A-A9BE-4C39-A090-50F255976FEC}"/>
                </c:ext>
              </c:extLst>
            </c:dLbl>
            <c:dLbl>
              <c:idx val="3"/>
              <c:layout>
                <c:manualLayout>
                  <c:x val="-0.18209854865097141"/>
                  <c:y val="-8.564833041703121E-2"/>
                </c:manualLayout>
              </c:layout>
              <c:spPr>
                <a:noFill/>
                <a:ln>
                  <a:solidFill>
                    <a:sysClr val="window" lastClr="FFFFFF"/>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oundRectCallout">
                      <a:avLst/>
                    </a:prstGeom>
                    <a:noFill/>
                    <a:ln>
                      <a:noFill/>
                    </a:ln>
                  </c15:spPr>
                  <c15:layout>
                    <c:manualLayout>
                      <c:w val="0.13882508626325232"/>
                      <c:h val="0.1592986293379994"/>
                    </c:manualLayout>
                  </c15:layout>
                </c:ext>
                <c:ext xmlns:c16="http://schemas.microsoft.com/office/drawing/2014/chart" uri="{C3380CC4-5D6E-409C-BE32-E72D297353CC}">
                  <c16:uniqueId val="{00000009-A9BE-4C39-A090-50F255976FEC}"/>
                </c:ext>
              </c:extLst>
            </c:dLbl>
            <c:spPr>
              <a:noFill/>
              <a:ln>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eparator>
</c:separator>
            <c:showLeaderLines val="0"/>
            <c:extLst>
              <c:ext xmlns:c15="http://schemas.microsoft.com/office/drawing/2012/chart" uri="{CE6537A1-D6FC-4f65-9D91-7224C49458BB}">
                <c15:spPr xmlns:c15="http://schemas.microsoft.com/office/drawing/2012/chart">
                  <a:prstGeom prst="wedgeRoundRectCallout">
                    <a:avLst/>
                  </a:prstGeom>
                  <a:noFill/>
                  <a:ln>
                    <a:noFill/>
                  </a:ln>
                </c15:spPr>
              </c:ext>
            </c:extLst>
          </c:dLbls>
          <c:cat>
            <c:strRef>
              <c:f>Analysis!$O$20:$O$24</c:f>
              <c:strCache>
                <c:ptCount val="4"/>
                <c:pt idx="0">
                  <c:v>North</c:v>
                </c:pt>
                <c:pt idx="1">
                  <c:v>South</c:v>
                </c:pt>
                <c:pt idx="2">
                  <c:v>West</c:v>
                </c:pt>
                <c:pt idx="3">
                  <c:v>East</c:v>
                </c:pt>
              </c:strCache>
            </c:strRef>
          </c:cat>
          <c:val>
            <c:numRef>
              <c:f>Analysis!$P$20:$P$24</c:f>
              <c:numCache>
                <c:formatCode>0%</c:formatCode>
                <c:ptCount val="4"/>
                <c:pt idx="0">
                  <c:v>0.26704920885665845</c:v>
                </c:pt>
                <c:pt idx="1">
                  <c:v>0.25187834902537237</c:v>
                </c:pt>
                <c:pt idx="2">
                  <c:v>0.24617926254204636</c:v>
                </c:pt>
                <c:pt idx="3">
                  <c:v>0.23489317957592279</c:v>
                </c:pt>
              </c:numCache>
            </c:numRef>
          </c:val>
          <c:extLst>
            <c:ext xmlns:c16="http://schemas.microsoft.com/office/drawing/2014/chart" uri="{C3380CC4-5D6E-409C-BE32-E72D297353CC}">
              <c16:uniqueId val="{00000000-A9BE-4C39-A090-50F255976FEC}"/>
            </c:ext>
          </c:extLst>
        </c:ser>
        <c:dLbls>
          <c:showLegendKey val="0"/>
          <c:showVal val="0"/>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[Business_Sales_Portfolio_Project.xlsx]Analysis!PivotTable5</c:name>
    <c:fmtId val="2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400" b="0" i="0" u="none" strike="noStrike" kern="1200" spc="0" baseline="0">
                <a:solidFill>
                  <a:sysClr val="window" lastClr="FFFFFF"/>
                </a:solidFill>
              </a:rPr>
              <a:t>No. of sales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7030A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Analysis!$D$18</c:f>
              <c:strCache>
                <c:ptCount val="1"/>
                <c:pt idx="0">
                  <c:v>Total</c:v>
                </c:pt>
              </c:strCache>
            </c:strRef>
          </c:tx>
          <c:spPr>
            <a:solidFill>
              <a:schemeClr val="accent1"/>
            </a:solidFill>
            <a:ln>
              <a:noFill/>
            </a:ln>
            <a:effectLst/>
          </c:spPr>
          <c:invertIfNegative val="0"/>
          <c:cat>
            <c:strRef>
              <c:f>Analysis!$C$19:$C$24</c:f>
              <c:strCache>
                <c:ptCount val="5"/>
                <c:pt idx="0">
                  <c:v>Headphones</c:v>
                </c:pt>
                <c:pt idx="1">
                  <c:v>Monitor</c:v>
                </c:pt>
                <c:pt idx="2">
                  <c:v>Laptop</c:v>
                </c:pt>
                <c:pt idx="3">
                  <c:v>Phone</c:v>
                </c:pt>
                <c:pt idx="4">
                  <c:v>Tablet</c:v>
                </c:pt>
              </c:strCache>
            </c:strRef>
          </c:cat>
          <c:val>
            <c:numRef>
              <c:f>Analysis!$D$19:$D$24</c:f>
              <c:numCache>
                <c:formatCode>General</c:formatCode>
                <c:ptCount val="5"/>
                <c:pt idx="0">
                  <c:v>974</c:v>
                </c:pt>
                <c:pt idx="1">
                  <c:v>945</c:v>
                </c:pt>
                <c:pt idx="2">
                  <c:v>897</c:v>
                </c:pt>
                <c:pt idx="3">
                  <c:v>894</c:v>
                </c:pt>
                <c:pt idx="4">
                  <c:v>873</c:v>
                </c:pt>
              </c:numCache>
            </c:numRef>
          </c:val>
          <c:extLst>
            <c:ext xmlns:c16="http://schemas.microsoft.com/office/drawing/2014/chart" uri="{C3380CC4-5D6E-409C-BE32-E72D297353CC}">
              <c16:uniqueId val="{00000000-618A-42A0-B6D7-9CE354359677}"/>
            </c:ext>
          </c:extLst>
        </c:ser>
        <c:dLbls>
          <c:showLegendKey val="0"/>
          <c:showVal val="0"/>
          <c:showCatName val="0"/>
          <c:showSerName val="0"/>
          <c:showPercent val="0"/>
          <c:showBubbleSize val="0"/>
        </c:dLbls>
        <c:gapWidth val="219"/>
        <c:overlap val="-27"/>
        <c:axId val="1221221423"/>
        <c:axId val="1221210383"/>
      </c:barChart>
      <c:catAx>
        <c:axId val="1221221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21210383"/>
        <c:crosses val="autoZero"/>
        <c:auto val="1"/>
        <c:lblAlgn val="ctr"/>
        <c:lblOffset val="100"/>
        <c:noMultiLvlLbl val="0"/>
      </c:catAx>
      <c:valAx>
        <c:axId val="1221210383"/>
        <c:scaling>
          <c:orientation val="minMax"/>
          <c:min val="5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21221423"/>
        <c:crosses val="autoZero"/>
        <c:crossBetween val="between"/>
        <c:majorUnit val="100"/>
        <c:minorUnit val="2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[Business_Sales_Portfolio_Project.xlsx]Analysis!PivotTable29</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sz="1400" b="0" i="0" u="none" strike="noStrike" kern="1200" spc="0" baseline="0">
                <a:solidFill>
                  <a:sysClr val="window" lastClr="FFFFFF"/>
                </a:solidFill>
              </a:rPr>
              <a:t>Sum of Revenue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Analysis!$J$19</c:f>
              <c:strCache>
                <c:ptCount val="1"/>
                <c:pt idx="0">
                  <c:v>Total</c:v>
                </c:pt>
              </c:strCache>
            </c:strRef>
          </c:tx>
          <c:spPr>
            <a:solidFill>
              <a:schemeClr val="accent1"/>
            </a:solidFill>
            <a:ln>
              <a:noFill/>
            </a:ln>
            <a:effectLst/>
          </c:spPr>
          <c:invertIfNegative val="0"/>
          <c:cat>
            <c:strRef>
              <c:f>Analysis!$I$20:$I$24</c:f>
              <c:strCache>
                <c:ptCount val="5"/>
                <c:pt idx="0">
                  <c:v>Headphones</c:v>
                </c:pt>
                <c:pt idx="1">
                  <c:v>Monitor</c:v>
                </c:pt>
                <c:pt idx="2">
                  <c:v>Laptop</c:v>
                </c:pt>
                <c:pt idx="3">
                  <c:v>Phone</c:v>
                </c:pt>
                <c:pt idx="4">
                  <c:v>Tablet</c:v>
                </c:pt>
              </c:strCache>
            </c:strRef>
          </c:cat>
          <c:val>
            <c:numRef>
              <c:f>Analysis!$J$20:$J$24</c:f>
              <c:numCache>
                <c:formatCode>General</c:formatCode>
                <c:ptCount val="5"/>
                <c:pt idx="0">
                  <c:v>624312</c:v>
                </c:pt>
                <c:pt idx="1">
                  <c:v>598183</c:v>
                </c:pt>
                <c:pt idx="2">
                  <c:v>597687</c:v>
                </c:pt>
                <c:pt idx="3">
                  <c:v>578447</c:v>
                </c:pt>
                <c:pt idx="4">
                  <c:v>572198</c:v>
                </c:pt>
              </c:numCache>
            </c:numRef>
          </c:val>
          <c:extLst>
            <c:ext xmlns:c16="http://schemas.microsoft.com/office/drawing/2014/chart" uri="{C3380CC4-5D6E-409C-BE32-E72D297353CC}">
              <c16:uniqueId val="{00000000-362D-46AF-965A-057106595B7E}"/>
            </c:ext>
          </c:extLst>
        </c:ser>
        <c:dLbls>
          <c:showLegendKey val="0"/>
          <c:showVal val="0"/>
          <c:showCatName val="0"/>
          <c:showSerName val="0"/>
          <c:showPercent val="0"/>
          <c:showBubbleSize val="0"/>
        </c:dLbls>
        <c:gapWidth val="219"/>
        <c:overlap val="-27"/>
        <c:axId val="1147728847"/>
        <c:axId val="1147732687"/>
      </c:barChart>
      <c:catAx>
        <c:axId val="114772884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47732687"/>
        <c:crosses val="autoZero"/>
        <c:auto val="1"/>
        <c:lblAlgn val="ctr"/>
        <c:lblOffset val="100"/>
        <c:noMultiLvlLbl val="0"/>
      </c:catAx>
      <c:valAx>
        <c:axId val="1147732687"/>
        <c:scaling>
          <c:orientation val="minMax"/>
          <c:max val="6500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47728847"/>
        <c:crosses val="autoZero"/>
        <c:crossBetween val="between"/>
        <c:majorUnit val="50000"/>
      </c:valAx>
      <c:spPr>
        <a:noFill/>
        <a:ln>
          <a:noFill/>
        </a:ln>
        <a:effectLst/>
      </c:spPr>
    </c:plotArea>
    <c:plotVisOnly val="1"/>
    <c:dispBlanksAs val="gap"/>
    <c:showDLblsOverMax val="0"/>
  </c:chart>
  <c:spPr>
    <a:solidFill>
      <a:schemeClr val="tx1"/>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[Business_Sales_Portfolio_Project.xlsx]Analysis!PivotTable1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Analysis!$D$38:$D$39</c:f>
              <c:strCache>
                <c:ptCount val="1"/>
                <c:pt idx="0">
                  <c:v>2023</c:v>
                </c:pt>
              </c:strCache>
            </c:strRef>
          </c:tx>
          <c:spPr>
            <a:solidFill>
              <a:schemeClr val="accent1"/>
            </a:solidFill>
            <a:ln>
              <a:noFill/>
            </a:ln>
            <a:effectLst/>
          </c:spPr>
          <c:invertIfNegative val="0"/>
          <c:cat>
            <c:strRef>
              <c:f>Analysis!$C$40:$C$52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Analysis!$D$40:$D$52</c:f>
              <c:numCache>
                <c:formatCode>General</c:formatCode>
                <c:ptCount val="12"/>
                <c:pt idx="0">
                  <c:v>140424</c:v>
                </c:pt>
                <c:pt idx="1">
                  <c:v>120361</c:v>
                </c:pt>
                <c:pt idx="2">
                  <c:v>125960</c:v>
                </c:pt>
                <c:pt idx="3">
                  <c:v>144617</c:v>
                </c:pt>
                <c:pt idx="4">
                  <c:v>120639</c:v>
                </c:pt>
                <c:pt idx="5">
                  <c:v>131161</c:v>
                </c:pt>
                <c:pt idx="6">
                  <c:v>128389</c:v>
                </c:pt>
                <c:pt idx="7">
                  <c:v>110035</c:v>
                </c:pt>
                <c:pt idx="8">
                  <c:v>120726</c:v>
                </c:pt>
                <c:pt idx="9">
                  <c:v>145767</c:v>
                </c:pt>
                <c:pt idx="10">
                  <c:v>149873</c:v>
                </c:pt>
                <c:pt idx="11">
                  <c:v>149086</c:v>
                </c:pt>
              </c:numCache>
            </c:numRef>
          </c:val>
          <c:extLst>
            <c:ext xmlns:c16="http://schemas.microsoft.com/office/drawing/2014/chart" uri="{C3380CC4-5D6E-409C-BE32-E72D297353CC}">
              <c16:uniqueId val="{00000000-EE4C-4ADF-B649-610271667495}"/>
            </c:ext>
          </c:extLst>
        </c:ser>
        <c:ser>
          <c:idx val="1"/>
          <c:order val="1"/>
          <c:tx>
            <c:strRef>
              <c:f>Analysis!$E$38:$E$39</c:f>
              <c:strCache>
                <c:ptCount val="1"/>
                <c:pt idx="0">
                  <c:v>2024</c:v>
                </c:pt>
              </c:strCache>
            </c:strRef>
          </c:tx>
          <c:spPr>
            <a:solidFill>
              <a:schemeClr val="accent2"/>
            </a:solidFill>
            <a:ln>
              <a:noFill/>
            </a:ln>
            <a:effectLst/>
          </c:spPr>
          <c:invertIfNegative val="0"/>
          <c:cat>
            <c:strRef>
              <c:f>Analysis!$C$40:$C$52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Analysis!$E$40:$E$52</c:f>
              <c:numCache>
                <c:formatCode>General</c:formatCode>
                <c:ptCount val="12"/>
                <c:pt idx="0">
                  <c:v>108628</c:v>
                </c:pt>
                <c:pt idx="1">
                  <c:v>128565</c:v>
                </c:pt>
                <c:pt idx="2">
                  <c:v>153770</c:v>
                </c:pt>
                <c:pt idx="3">
                  <c:v>133456</c:v>
                </c:pt>
                <c:pt idx="4">
                  <c:v>130461</c:v>
                </c:pt>
                <c:pt idx="5">
                  <c:v>128565</c:v>
                </c:pt>
                <c:pt idx="6">
                  <c:v>96330</c:v>
                </c:pt>
                <c:pt idx="7">
                  <c:v>130697</c:v>
                </c:pt>
                <c:pt idx="8">
                  <c:v>126207</c:v>
                </c:pt>
                <c:pt idx="9">
                  <c:v>142992</c:v>
                </c:pt>
                <c:pt idx="10">
                  <c:v>98723</c:v>
                </c:pt>
                <c:pt idx="11">
                  <c:v>5395</c:v>
                </c:pt>
              </c:numCache>
            </c:numRef>
          </c:val>
          <c:extLst>
            <c:ext xmlns:c16="http://schemas.microsoft.com/office/drawing/2014/chart" uri="{C3380CC4-5D6E-409C-BE32-E72D297353CC}">
              <c16:uniqueId val="{00000019-EE4C-4ADF-B649-610271667495}"/>
            </c:ext>
          </c:extLst>
        </c:ser>
        <c:dLbls>
          <c:showLegendKey val="0"/>
          <c:showVal val="0"/>
          <c:showCatName val="0"/>
          <c:showSerName val="0"/>
          <c:showPercent val="0"/>
          <c:showBubbleSize val="0"/>
        </c:dLbls>
        <c:gapWidth val="182"/>
        <c:overlap val="-50"/>
        <c:axId val="1559415471"/>
        <c:axId val="1559417391"/>
      </c:barChart>
      <c:catAx>
        <c:axId val="155941547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59417391"/>
        <c:crosses val="autoZero"/>
        <c:auto val="1"/>
        <c:lblAlgn val="ctr"/>
        <c:lblOffset val="100"/>
        <c:noMultiLvlLbl val="0"/>
      </c:catAx>
      <c:valAx>
        <c:axId val="1559417391"/>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59415471"/>
        <c:crosses val="autoZero"/>
        <c:crossBetween val="between"/>
        <c:majorUnit val="50000"/>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12</xdr:col>
      <xdr:colOff>247652</xdr:colOff>
      <xdr:row>0</xdr:row>
      <xdr:rowOff>123825</xdr:rowOff>
    </xdr:from>
    <xdr:to>
      <xdr:col>17</xdr:col>
      <xdr:colOff>3463</xdr:colOff>
      <xdr:row>15</xdr:row>
      <xdr:rowOff>9525</xdr:rowOff>
    </xdr:to>
    <xdr:graphicFrame macro="">
      <xdr:nvGraphicFramePr>
        <xdr:cNvPr id="2" name="Chart 1" descr="Chart type: Clustered Bar. Percentage of 'Revenue' by 'Region'">
          <a:extLst>
            <a:ext uri="{FF2B5EF4-FFF2-40B4-BE49-F238E27FC236}">
              <a16:creationId xmlns:a16="http://schemas.microsoft.com/office/drawing/2014/main" id="{9A44C436-5094-1CD8-8E74-84AF1EE202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190499</xdr:colOff>
      <xdr:row>0</xdr:row>
      <xdr:rowOff>147637</xdr:rowOff>
    </xdr:from>
    <xdr:to>
      <xdr:col>6</xdr:col>
      <xdr:colOff>552449</xdr:colOff>
      <xdr:row>15</xdr:row>
      <xdr:rowOff>33337</xdr:rowOff>
    </xdr:to>
    <xdr:graphicFrame macro="">
      <xdr:nvGraphicFramePr>
        <xdr:cNvPr id="3" name="Chart 2">
          <a:extLst>
            <a:ext uri="{FF2B5EF4-FFF2-40B4-BE49-F238E27FC236}">
              <a16:creationId xmlns:a16="http://schemas.microsoft.com/office/drawing/2014/main" id="{49DDF1C6-A9F3-D6A0-B37D-C76182BBA7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233363</xdr:colOff>
      <xdr:row>0</xdr:row>
      <xdr:rowOff>128587</xdr:rowOff>
    </xdr:from>
    <xdr:to>
      <xdr:col>11</xdr:col>
      <xdr:colOff>1563688</xdr:colOff>
      <xdr:row>15</xdr:row>
      <xdr:rowOff>14287</xdr:rowOff>
    </xdr:to>
    <xdr:graphicFrame macro="">
      <xdr:nvGraphicFramePr>
        <xdr:cNvPr id="4" name="Chart 3">
          <a:extLst>
            <a:ext uri="{FF2B5EF4-FFF2-40B4-BE49-F238E27FC236}">
              <a16:creationId xmlns:a16="http://schemas.microsoft.com/office/drawing/2014/main" id="{1553CF82-DCE0-4D86-9B1A-D4EDFCE723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68408</xdr:colOff>
      <xdr:row>36</xdr:row>
      <xdr:rowOff>159328</xdr:rowOff>
    </xdr:from>
    <xdr:to>
      <xdr:col>15</xdr:col>
      <xdr:colOff>422561</xdr:colOff>
      <xdr:row>51</xdr:row>
      <xdr:rowOff>45028</xdr:rowOff>
    </xdr:to>
    <xdr:graphicFrame macro="">
      <xdr:nvGraphicFramePr>
        <xdr:cNvPr id="5" name="Chart 4">
          <a:extLst>
            <a:ext uri="{FF2B5EF4-FFF2-40B4-BE49-F238E27FC236}">
              <a16:creationId xmlns:a16="http://schemas.microsoft.com/office/drawing/2014/main" id="{D958E15A-2EEE-33FF-1A4A-B3CB3E5129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xdr:col>
      <xdr:colOff>15587</xdr:colOff>
      <xdr:row>53</xdr:row>
      <xdr:rowOff>33769</xdr:rowOff>
    </xdr:from>
    <xdr:to>
      <xdr:col>5</xdr:col>
      <xdr:colOff>45316</xdr:colOff>
      <xdr:row>60</xdr:row>
      <xdr:rowOff>138546</xdr:rowOff>
    </xdr:to>
    <mc:AlternateContent xmlns:mc="http://schemas.openxmlformats.org/markup-compatibility/2006" xmlns:tsle="http://schemas.microsoft.com/office/drawing/2012/timeslicer">
      <mc:Choice Requires="tsle">
        <xdr:graphicFrame macro="">
          <xdr:nvGraphicFramePr>
            <xdr:cNvPr id="7" name="Order_Date">
              <a:extLst>
                <a:ext uri="{FF2B5EF4-FFF2-40B4-BE49-F238E27FC236}">
                  <a16:creationId xmlns:a16="http://schemas.microsoft.com/office/drawing/2014/main" id="{40CA130E-91E2-767F-920D-07585A1F160B}"/>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881496" y="10130269"/>
              <a:ext cx="2918979" cy="143827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6</xdr:col>
      <xdr:colOff>161925</xdr:colOff>
      <xdr:row>36</xdr:row>
      <xdr:rowOff>184439</xdr:rowOff>
    </xdr:from>
    <xdr:to>
      <xdr:col>8</xdr:col>
      <xdr:colOff>691861</xdr:colOff>
      <xdr:row>46</xdr:row>
      <xdr:rowOff>34636</xdr:rowOff>
    </xdr:to>
    <mc:AlternateContent xmlns:mc="http://schemas.openxmlformats.org/markup-compatibility/2006" xmlns:a14="http://schemas.microsoft.com/office/drawing/2010/main">
      <mc:Choice Requires="a14">
        <xdr:graphicFrame macro="">
          <xdr:nvGraphicFramePr>
            <xdr:cNvPr id="8" name="Product">
              <a:extLst>
                <a:ext uri="{FF2B5EF4-FFF2-40B4-BE49-F238E27FC236}">
                  <a16:creationId xmlns:a16="http://schemas.microsoft.com/office/drawing/2014/main" id="{46F989A8-BA84-618B-6B68-37A8E3E2974B}"/>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4456834" y="7042439"/>
              <a:ext cx="1828800" cy="17551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415636</xdr:colOff>
      <xdr:row>66</xdr:row>
      <xdr:rowOff>138545</xdr:rowOff>
    </xdr:from>
    <xdr:to>
      <xdr:col>12</xdr:col>
      <xdr:colOff>528204</xdr:colOff>
      <xdr:row>82</xdr:row>
      <xdr:rowOff>181841</xdr:rowOff>
    </xdr:to>
    <xdr:sp macro="" textlink="">
      <xdr:nvSpPr>
        <xdr:cNvPr id="9" name="TextBox 8">
          <a:extLst>
            <a:ext uri="{FF2B5EF4-FFF2-40B4-BE49-F238E27FC236}">
              <a16:creationId xmlns:a16="http://schemas.microsoft.com/office/drawing/2014/main" id="{4672EB96-FA9E-0310-63C2-4D9B5EB8D025}"/>
            </a:ext>
          </a:extLst>
        </xdr:cNvPr>
        <xdr:cNvSpPr txBox="1"/>
      </xdr:nvSpPr>
      <xdr:spPr>
        <a:xfrm>
          <a:off x="4165022" y="12711545"/>
          <a:ext cx="5879523" cy="3091296"/>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u="sng"/>
            <a:t>Key Outline</a:t>
          </a:r>
        </a:p>
        <a:p>
          <a:endParaRPr lang="en-IN"/>
        </a:p>
        <a:p>
          <a:endParaRPr lang="en-IN"/>
        </a:p>
        <a:p>
          <a:r>
            <a:rPr lang="en-IN" sz="1400" i="1"/>
            <a:t>&gt;&gt; Headphones generate highest revenue despite lower sales volume</a:t>
          </a:r>
        </a:p>
        <a:p>
          <a:endParaRPr lang="en-IN" sz="1400" i="1"/>
        </a:p>
        <a:p>
          <a:r>
            <a:rPr lang="en-IN" sz="1400" i="1"/>
            <a:t>&gt;&gt; East region contributes lowest revenue share</a:t>
          </a:r>
        </a:p>
        <a:p>
          <a:endParaRPr lang="en-IN" sz="1400" i="1"/>
        </a:p>
        <a:p>
          <a:pPr lvl="0"/>
          <a:r>
            <a:rPr lang="en-IN" sz="1400" i="1"/>
            <a:t>&gt;&gt; Revenue was bad in Q4 of 2024 as </a:t>
          </a:r>
          <a:r>
            <a:rPr lang="en-IN" sz="1400" i="1" u="sng"/>
            <a:t>only Headphones</a:t>
          </a:r>
          <a:r>
            <a:rPr lang="en-IN" sz="1400" i="1"/>
            <a:t> were sold in December</a:t>
          </a:r>
        </a:p>
        <a:p>
          <a:endParaRPr lang="en-IN" sz="1400" i="1"/>
        </a:p>
        <a:p>
          <a:r>
            <a:rPr lang="en-IN" sz="1400" i="1"/>
            <a:t>&gt;&gt; Accessories are selling</a:t>
          </a:r>
          <a:r>
            <a:rPr kumimoji="0" lang="en-IN" sz="1400" b="0" i="1" u="none" strike="noStrike" kern="0" cap="none" spc="0" normalizeH="0" baseline="0" noProof="0">
              <a:ln>
                <a:noFill/>
              </a:ln>
              <a:solidFill>
                <a:prstClr val="black"/>
              </a:solidFill>
              <a:effectLst/>
              <a:uLnTx/>
              <a:uFillTx/>
              <a:latin typeface="+mn-lt"/>
              <a:ea typeface="+mn-ea"/>
              <a:cs typeface="+mn-cs"/>
            </a:rPr>
            <a:t> better</a:t>
          </a:r>
          <a:endParaRPr lang="en-IN" sz="1400" i="1"/>
        </a:p>
        <a:p>
          <a:endParaRPr lang="en-IN" sz="1400" i="1"/>
        </a:p>
        <a:p>
          <a:r>
            <a:rPr lang="en-IN" sz="1400" i="1"/>
            <a:t>&gt;&gt; Top 3 products account for over 60% of revenue &amp;</a:t>
          </a:r>
          <a:r>
            <a:rPr lang="en-IN" sz="1400" i="1" baseline="0"/>
            <a:t> 2 of them are accessories</a:t>
          </a:r>
          <a:endParaRPr lang="en-IN" sz="1400" i="1"/>
        </a:p>
        <a:p>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29.444030555554" createdVersion="8" refreshedVersion="8" minRefreshableVersion="3" recordCount="1500" xr:uid="{FEC7812B-3C4F-4F68-8806-8A549B2500C4}">
  <cacheSource type="worksheet">
    <worksheetSource ref="A1:H1501" sheet="Sales_Data"/>
  </cacheSource>
  <cacheFields count="8">
    <cacheField name="Order_ID" numFmtId="0">
      <sharedItems/>
    </cacheField>
    <cacheField name="Order_Date" numFmtId="164">
      <sharedItems containsSemiMixedTypes="0" containsNonDate="0" containsDate="1" containsString="0" minDate="2023-01-01T00:00:00" maxDate="2024-12-02T00:00:00"/>
    </cacheField>
    <cacheField name="Customer_ID" numFmtId="0">
      <sharedItems/>
    </cacheField>
    <cacheField name="Region" numFmtId="0">
      <sharedItems/>
    </cacheField>
    <cacheField name="Product" numFmtId="0">
      <sharedItems count="5">
        <s v="Phone"/>
        <s v="Laptop"/>
        <s v="Monitor"/>
        <s v="Tablet"/>
        <s v="Headphones"/>
      </sharedItems>
    </cacheField>
    <cacheField name="Quantity" numFmtId="0">
      <sharedItems containsSemiMixedTypes="0" containsString="0" containsNumber="1" containsInteger="1" minValue="1" maxValue="5"/>
    </cacheField>
    <cacheField name="Unit_Price" numFmtId="0">
      <sharedItems containsSemiMixedTypes="0" containsString="0" containsNumber="1" containsInteger="1" minValue="100" maxValue="1200"/>
    </cacheField>
    <cacheField name="Revenue" numFmtId="0">
      <sharedItems containsSemiMixedTypes="0" containsString="0" containsNumber="1" containsInteger="1" minValue="100" maxValue="6000" count="1174">
        <n v="1772"/>
        <n v="2104"/>
        <n v="441"/>
        <n v="3345"/>
        <n v="2568"/>
        <n v="3940"/>
        <n v="654"/>
        <n v="1536"/>
        <n v="2655"/>
        <n v="2240"/>
        <n v="831"/>
        <n v="1444"/>
        <n v="5360"/>
        <n v="114"/>
        <n v="2754"/>
        <n v="3172"/>
        <n v="4870"/>
        <n v="632"/>
        <n v="1724"/>
        <n v="2302"/>
        <n v="3560"/>
        <n v="2300"/>
        <n v="1575"/>
        <n v="1830"/>
        <n v="972"/>
        <n v="2695"/>
        <n v="148"/>
        <n v="3164"/>
        <n v="914"/>
        <n v="4772"/>
        <n v="2440"/>
        <n v="2170"/>
        <n v="289"/>
        <n v="956"/>
        <n v="3348"/>
        <n v="1560"/>
        <n v="572"/>
        <n v="4315"/>
        <n v="1022"/>
        <n v="3808"/>
        <n v="2784"/>
        <n v="2859"/>
        <n v="1418"/>
        <n v="3064"/>
        <n v="380"/>
        <n v="4705"/>
        <n v="1080"/>
        <n v="4284"/>
        <n v="4995"/>
        <n v="2274"/>
        <n v="1300"/>
        <n v="1896"/>
        <n v="1554"/>
        <n v="1530"/>
        <n v="2444"/>
        <n v="669"/>
        <n v="5150"/>
        <n v="4212"/>
        <n v="746"/>
        <n v="1550"/>
        <n v="1810"/>
        <n v="124"/>
        <n v="2276"/>
        <n v="2325"/>
        <n v="4085"/>
        <n v="1844"/>
        <n v="1236"/>
        <n v="579"/>
        <n v="828"/>
        <n v="4300"/>
        <n v="5540"/>
        <n v="226"/>
        <n v="1932"/>
        <n v="2496"/>
        <n v="716"/>
        <n v="522"/>
        <n v="904"/>
        <n v="449"/>
        <n v="635"/>
        <n v="4260"/>
        <n v="527"/>
        <n v="2710"/>
        <n v="2030"/>
        <n v="2805"/>
        <n v="1464"/>
        <n v="1434"/>
        <n v="1570"/>
        <n v="3270"/>
        <n v="2372"/>
        <n v="1874"/>
        <n v="744"/>
        <n v="1245"/>
        <n v="1865"/>
        <n v="1935"/>
        <n v="3240"/>
        <n v="496"/>
        <n v="480"/>
        <n v="564"/>
        <n v="2260"/>
        <n v="1122"/>
        <n v="2294"/>
        <n v="541"/>
        <n v="4460"/>
        <n v="1162"/>
        <n v="859"/>
        <n v="1204"/>
        <n v="2720"/>
        <n v="2270"/>
        <n v="342"/>
        <n v="1030"/>
        <n v="2208"/>
        <n v="777"/>
        <n v="3716"/>
        <n v="822"/>
        <n v="1882"/>
        <n v="568"/>
        <n v="1294"/>
        <n v="421"/>
        <n v="696"/>
        <n v="1116"/>
        <n v="622"/>
        <n v="519"/>
        <n v="1728"/>
        <n v="603"/>
        <n v="1086"/>
        <n v="1326"/>
        <n v="580"/>
        <n v="590"/>
        <n v="584"/>
        <n v="2712"/>
        <n v="1040"/>
        <n v="3108"/>
        <n v="110"/>
        <n v="1194"/>
        <n v="1640"/>
        <n v="1980"/>
        <n v="1106"/>
        <n v="244"/>
        <n v="4125"/>
        <n v="2398"/>
        <n v="3021"/>
        <n v="652"/>
        <n v="792"/>
        <n v="1316"/>
        <n v="1716"/>
        <n v="759"/>
        <n v="1224"/>
        <n v="5915"/>
        <n v="3399"/>
        <n v="2964"/>
        <n v="3120"/>
        <n v="3504"/>
        <n v="1605"/>
        <n v="720"/>
        <n v="4508"/>
        <n v="2020"/>
        <n v="2768"/>
        <n v="3790"/>
        <n v="2378"/>
        <n v="1616"/>
        <n v="365"/>
        <n v="3140"/>
        <n v="2130"/>
        <n v="4492"/>
        <n v="2460"/>
        <n v="392"/>
        <n v="2335"/>
        <n v="2466"/>
        <n v="3354"/>
        <n v="3162"/>
        <n v="873"/>
        <n v="548"/>
        <n v="3924"/>
        <n v="1644"/>
        <n v="3836"/>
        <n v="1165"/>
        <n v="5640"/>
        <n v="2650"/>
        <n v="3636"/>
        <n v="4815"/>
        <n v="4208"/>
        <n v="1664"/>
        <n v="4275"/>
        <n v="794"/>
        <n v="1268"/>
        <n v="406"/>
        <n v="2538"/>
        <n v="5950"/>
        <n v="336"/>
        <n v="2136"/>
        <n v="3572"/>
        <n v="5435"/>
        <n v="3204"/>
        <n v="4344"/>
        <n v="162"/>
        <n v="263"/>
        <n v="206"/>
        <n v="2065"/>
        <n v="1035"/>
        <n v="1647"/>
        <n v="4335"/>
        <n v="549"/>
        <n v="827"/>
        <n v="405"/>
        <n v="1835"/>
        <n v="1415"/>
        <n v="3156"/>
        <n v="107"/>
        <n v="1683"/>
        <n v="3384"/>
        <n v="1144"/>
        <n v="986"/>
        <n v="2976"/>
        <n v="1876"/>
        <n v="487"/>
        <n v="4685"/>
        <n v="891"/>
        <n v="456"/>
        <n v="723"/>
        <n v="2000"/>
        <n v="612"/>
        <n v="2315"/>
        <n v="3295"/>
        <n v="1977"/>
        <n v="4540"/>
        <n v="554"/>
        <n v="415"/>
        <n v="3252"/>
        <n v="157"/>
        <n v="2935"/>
        <n v="404"/>
        <n v="238"/>
        <n v="2118"/>
        <n v="2160"/>
        <n v="2187"/>
        <n v="3710"/>
        <n v="4405"/>
        <n v="578"/>
        <n v="2765"/>
        <n v="2810"/>
        <n v="1185"/>
        <n v="1764"/>
        <n v="3795"/>
        <n v="2660"/>
        <n v="4185"/>
        <n v="573"/>
        <n v="4600"/>
        <n v="3816"/>
        <n v="2172"/>
        <n v="1149"/>
        <n v="916"/>
        <n v="1062"/>
        <n v="2376"/>
        <n v="2876"/>
        <n v="606"/>
        <n v="3237"/>
        <n v="1054"/>
        <n v="2082"/>
        <n v="3045"/>
        <n v="1650"/>
        <n v="4320"/>
        <n v="5955"/>
        <n v="3114"/>
        <n v="1675"/>
        <n v="2736"/>
        <n v="452"/>
        <n v="2635"/>
        <n v="630"/>
        <n v="3387"/>
        <n v="1812"/>
        <n v="624"/>
        <n v="2320"/>
        <n v="3153"/>
        <n v="601"/>
        <n v="2504"/>
        <n v="5480"/>
        <n v="1504"/>
        <n v="1061"/>
        <n v="1202"/>
        <n v="1395"/>
        <n v="1912"/>
        <n v="2166"/>
        <n v="1964"/>
        <n v="3810"/>
        <n v="2619"/>
        <n v="4500"/>
        <n v="765"/>
        <n v="1167"/>
        <n v="3075"/>
        <n v="1545"/>
        <n v="1310"/>
        <n v="3492"/>
        <n v="1208"/>
        <n v="1970"/>
        <n v="700"/>
        <n v="1296"/>
        <n v="2700"/>
        <n v="660"/>
        <n v="526"/>
        <n v="5440"/>
        <n v="3501"/>
        <n v="1454"/>
        <n v="1218"/>
        <n v="2244"/>
        <n v="378"/>
        <n v="256"/>
        <n v="506"/>
        <n v="490"/>
        <n v="642"/>
        <n v="1494"/>
        <n v="3516"/>
        <n v="3480"/>
        <n v="1688"/>
        <n v="428"/>
        <n v="3072"/>
        <n v="5925"/>
        <n v="1955"/>
        <n v="1108"/>
        <n v="260"/>
        <n v="1708"/>
        <n v="447"/>
        <n v="4280"/>
        <n v="3184"/>
        <n v="3068"/>
        <n v="2070"/>
        <n v="1052"/>
        <n v="202"/>
        <n v="738"/>
        <n v="2025"/>
        <n v="1658"/>
        <n v="1094"/>
        <n v="868"/>
        <n v="2688"/>
        <n v="1700"/>
        <n v="1216"/>
        <n v="4170"/>
        <n v="347"/>
        <n v="1730"/>
        <n v="947"/>
        <n v="2028"/>
        <n v="2680"/>
        <n v="2126"/>
        <n v="1017"/>
        <n v="1026"/>
        <n v="2032"/>
        <n v="2404"/>
        <n v="1670"/>
        <n v="1940"/>
        <n v="3360"/>
        <n v="664"/>
        <n v="2640"/>
        <n v="639"/>
        <n v="186"/>
        <n v="2202"/>
        <n v="1408"/>
        <n v="1150"/>
        <n v="1713"/>
        <n v="1854"/>
        <n v="1196"/>
        <n v="390"/>
        <n v="796"/>
        <n v="960"/>
        <n v="934"/>
        <n v="1290"/>
        <n v="2132"/>
        <n v="2100"/>
        <n v="3132"/>
        <n v="3720"/>
        <n v="2205"/>
        <n v="3160"/>
        <n v="1705"/>
        <n v="2880"/>
        <n v="712"/>
        <n v="3528"/>
        <n v="1626"/>
        <n v="3420"/>
        <n v="1520"/>
        <n v="1414"/>
        <n v="2284"/>
        <n v="939"/>
        <n v="2164"/>
        <n v="414"/>
        <n v="4424"/>
        <n v="988"/>
        <n v="2958"/>
        <n v="2336"/>
        <n v="3357"/>
        <n v="5500"/>
        <n v="2748"/>
        <n v="5670"/>
        <n v="2728"/>
        <n v="1092"/>
        <n v="2370"/>
        <n v="3956"/>
        <n v="756"/>
        <n v="309"/>
        <n v="3588"/>
        <n v="4252"/>
        <n v="1638"/>
        <n v="2392"/>
        <n v="3535"/>
        <n v="3728"/>
        <n v="3264"/>
        <n v="1782"/>
        <n v="3930"/>
        <n v="3608"/>
        <n v="686"/>
        <n v="1119"/>
        <n v="2676"/>
        <n v="976"/>
        <n v="258"/>
        <n v="2375"/>
        <n v="1768"/>
        <n v="2086"/>
        <n v="440"/>
        <n v="1974"/>
        <n v="1155"/>
        <n v="2973"/>
        <n v="1124"/>
        <n v="489"/>
        <n v="752"/>
        <n v="1103"/>
        <n v="249"/>
        <n v="2045"/>
        <n v="1135"/>
        <n v="3385"/>
        <n v="1244"/>
        <n v="2055"/>
        <n v="294"/>
        <n v="5755"/>
        <n v="2331"/>
        <n v="3715"/>
        <n v="844"/>
        <n v="2228"/>
        <n v="505"/>
        <n v="1864"/>
        <n v="3960"/>
        <n v="280"/>
        <n v="100"/>
        <n v="3145"/>
        <n v="2103"/>
        <n v="725"/>
        <n v="2060"/>
        <n v="531"/>
        <n v="3015"/>
        <n v="4596"/>
        <n v="2792"/>
        <n v="672"/>
        <n v="2215"/>
        <n v="5765"/>
        <n v="1019"/>
        <n v="679"/>
        <n v="705"/>
        <n v="5300"/>
        <n v="2154"/>
        <n v="2139"/>
        <n v="4196"/>
        <n v="1112"/>
        <n v="4285"/>
        <n v="443"/>
        <n v="179"/>
        <n v="4368"/>
        <n v="4940"/>
        <n v="1360"/>
        <n v="209"/>
        <n v="1510"/>
        <n v="1491"/>
        <n v="4145"/>
        <n v="4340"/>
        <n v="2600"/>
        <n v="808"/>
        <n v="2380"/>
        <n v="403"/>
        <n v="486"/>
        <n v="4188"/>
        <n v="1200"/>
        <n v="1156"/>
        <n v="1016"/>
        <n v="4890"/>
        <n v="790"/>
        <n v="1770"/>
        <n v="2865"/>
        <n v="3368"/>
        <n v="5010"/>
        <n v="1032"/>
        <n v="194"/>
        <n v="1184"/>
        <n v="4392"/>
        <n v="908"/>
        <n v="1704"/>
        <n v="1284"/>
        <n v="1910"/>
        <n v="4124"/>
        <n v="878"/>
        <n v="567"/>
        <n v="1043"/>
        <n v="692"/>
        <n v="1884"/>
        <n v="2182"/>
        <n v="1215"/>
        <n v="936"/>
        <n v="5830"/>
        <n v="863"/>
        <n v="3366"/>
        <n v="1180"/>
        <n v="5980"/>
        <n v="804"/>
        <n v="2286"/>
        <n v="1599"/>
        <n v="132"/>
        <n v="1169"/>
        <n v="327"/>
        <n v="4780"/>
        <n v="1765"/>
        <n v="2367"/>
        <n v="2530"/>
        <n v="4616"/>
        <n v="412"/>
        <n v="1091"/>
        <n v="1131"/>
        <n v="200"/>
        <n v="426"/>
        <n v="980"/>
        <n v="3096"/>
        <n v="498"/>
        <n v="492"/>
        <n v="1485"/>
        <n v="895"/>
        <n v="978"/>
        <n v="640"/>
        <n v="1992"/>
        <n v="4580"/>
        <n v="558"/>
        <n v="880"/>
        <n v="698"/>
        <n v="591"/>
        <n v="3175"/>
        <n v="2168"/>
        <n v="4065"/>
        <n v="1692"/>
        <n v="858"/>
        <n v="1926"/>
        <n v="680"/>
        <n v="3370"/>
        <n v="1220"/>
        <n v="2436"/>
        <n v="2816"/>
        <n v="1600"/>
        <n v="4312"/>
        <n v="1136"/>
        <n v="444"/>
        <n v="2064"/>
        <n v="781"/>
        <n v="1842"/>
        <n v="545"/>
        <n v="1695"/>
        <n v="780"/>
        <n v="174"/>
        <n v="2564"/>
        <n v="3378"/>
        <n v="1100"/>
        <n v="333"/>
        <n v="1608"/>
        <n v="2646"/>
        <n v="702"/>
        <n v="763"/>
        <n v="4825"/>
        <n v="1952"/>
        <n v="1392"/>
        <n v="3144"/>
        <n v="5805"/>
        <n v="5730"/>
        <n v="301"/>
        <n v="870"/>
        <n v="925"/>
        <n v="1500"/>
        <n v="332"/>
        <n v="846"/>
        <n v="1240"/>
        <n v="1328"/>
        <n v="1046"/>
        <n v="605"/>
        <n v="5140"/>
        <n v="3740"/>
        <n v="670"/>
        <n v="417"/>
        <n v="909"/>
        <n v="1756"/>
        <n v="2332"/>
        <n v="1702"/>
        <n v="461"/>
        <n v="954"/>
        <n v="2685"/>
        <n v="802"/>
        <n v="3003"/>
        <n v="5505"/>
        <n v="267"/>
        <n v="1410"/>
        <n v="2840"/>
        <n v="4552"/>
        <n v="1012"/>
        <n v="131"/>
        <n v="1067"/>
        <n v="747"/>
        <n v="1214"/>
        <n v="212"/>
        <n v="740"/>
        <n v="4332"/>
        <n v="4165"/>
        <n v="1192"/>
        <n v="3984"/>
        <n v="1904"/>
        <n v="1193"/>
        <n v="2410"/>
        <n v="3824"/>
        <n v="5125"/>
        <n v="2667"/>
        <n v="973"/>
        <n v="726"/>
        <n v="1071"/>
        <n v="2481"/>
        <n v="5175"/>
        <n v="203"/>
        <n v="3904"/>
        <n v="724"/>
        <n v="1385"/>
        <n v="2820"/>
        <n v="3092"/>
        <n v="735"/>
        <n v="5030"/>
        <n v="1358"/>
        <n v="963"/>
        <n v="576"/>
        <n v="5220"/>
        <n v="707"/>
        <n v="813"/>
        <n v="957"/>
        <n v="1944"/>
        <n v="494"/>
        <n v="598"/>
        <n v="302"/>
        <n v="2545"/>
        <n v="2995"/>
        <n v="3645"/>
        <n v="3530"/>
        <n v="1070"/>
        <n v="1584"/>
        <n v="1968"/>
        <n v="2022"/>
        <n v="1948"/>
        <n v="2408"/>
        <n v="1482"/>
        <n v="921"/>
        <n v="1796"/>
        <n v="2900"/>
        <n v="1023"/>
        <n v="1860"/>
        <n v="1456"/>
        <n v="4536"/>
        <n v="1383"/>
        <n v="1838"/>
        <n v="4608"/>
        <n v="2990"/>
        <n v="534"/>
        <n v="546"/>
        <n v="1175"/>
        <n v="754"/>
        <n v="1548"/>
        <n v="2316"/>
        <n v="789"/>
        <n v="275"/>
        <n v="152"/>
        <n v="998"/>
        <n v="2088"/>
        <n v="1524"/>
        <n v="588"/>
        <n v="2802"/>
        <n v="542"/>
        <n v="1057"/>
        <n v="2420"/>
        <n v="5165"/>
        <n v="1293"/>
        <n v="1140"/>
        <n v="668"/>
        <n v="5975"/>
        <n v="627"/>
        <n v="966"/>
        <n v="2575"/>
        <n v="2382"/>
        <n v="3294"/>
        <n v="271"/>
        <n v="1330"/>
        <n v="2394"/>
        <n v="1950"/>
        <n v="1722"/>
        <n v="2156"/>
        <n v="3668"/>
        <n v="5055"/>
        <n v="1172"/>
        <n v="1440"/>
        <n v="1005"/>
        <n v="4860"/>
        <n v="4025"/>
        <n v="615"/>
        <n v="306"/>
        <n v="938"/>
        <n v="1714"/>
        <n v="1198"/>
        <n v="6000"/>
        <n v="510"/>
        <n v="3725"/>
        <n v="4375"/>
        <n v="4160"/>
        <n v="3309"/>
        <n v="1044"/>
        <n v="1132"/>
        <n v="2469"/>
        <n v="4735"/>
        <n v="3625"/>
        <n v="5635"/>
        <n v="812"/>
        <n v="3344"/>
        <n v="678"/>
        <n v="1798"/>
        <n v="1566"/>
        <n v="2397"/>
        <n v="3496"/>
        <n v="2755"/>
        <n v="3507"/>
        <n v="1892"/>
        <n v="663"/>
        <n v="2796"/>
        <n v="1239"/>
        <n v="2885"/>
        <n v="2961"/>
        <n v="648"/>
        <n v="2388"/>
        <n v="848"/>
        <n v="4560"/>
        <n v="3215"/>
        <n v="5555"/>
        <n v="739"/>
        <n v="1443"/>
        <n v="882"/>
        <n v="1356"/>
        <n v="4248"/>
        <n v="2037"/>
        <n v="270"/>
        <n v="246"/>
        <n v="2875"/>
        <n v="3495"/>
        <n v="3508"/>
        <n v="2721"/>
        <n v="1780"/>
        <n v="730"/>
        <n v="1170"/>
        <n v="1190"/>
        <n v="3177"/>
        <n v="1095"/>
        <n v="787"/>
        <n v="964"/>
        <n v="594"/>
        <n v="123"/>
        <n v="2508"/>
        <n v="1615"/>
        <n v="3012"/>
        <n v="1320"/>
        <n v="416"/>
        <n v="2292"/>
        <n v="3534"/>
        <n v="3556"/>
        <n v="941"/>
        <n v="2337"/>
        <n v="1929"/>
        <n v="2484"/>
        <n v="3402"/>
        <n v="1436"/>
        <n v="2193"/>
        <n v="370"/>
        <n v="900"/>
        <n v="971"/>
        <n v="621"/>
        <n v="1404"/>
        <n v="2949"/>
        <n v="2280"/>
        <n v="2004"/>
        <n v="2740"/>
        <n v="222"/>
        <n v="711"/>
        <n v="448"/>
        <n v="137"/>
        <n v="262"/>
        <n v="4048"/>
        <n v="807"/>
        <n v="328"/>
        <n v="5895"/>
        <n v="2418"/>
        <n v="1228"/>
        <n v="570"/>
        <n v="2295"/>
        <n v="2772"/>
        <n v="3964"/>
        <n v="803"/>
        <n v="1476"/>
        <n v="2046"/>
        <n v="4035"/>
        <n v="884"/>
        <n v="3552"/>
        <n v="3200"/>
        <n v="1540"/>
        <n v="1432"/>
        <n v="2358"/>
        <n v="2054"/>
        <n v="2352"/>
        <n v="3365"/>
        <n v="362"/>
        <n v="470"/>
        <n v="3976"/>
        <n v="2853"/>
        <n v="1580"/>
        <n v="4330"/>
        <n v="2150"/>
        <n v="2555"/>
        <n v="2628"/>
        <n v="1881"/>
        <n v="2229"/>
        <n v="345"/>
        <n v="1158"/>
        <n v="1488"/>
        <n v="795"/>
        <n v="2764"/>
        <n v="1008"/>
        <n v="4328"/>
        <n v="1010"/>
        <n v="662"/>
        <n v="1053"/>
        <n v="860"/>
        <n v="4110"/>
        <n v="4568"/>
        <n v="2868"/>
        <n v="2188"/>
        <n v="905"/>
        <n v="1350"/>
        <n v="2848"/>
        <n v="3676"/>
        <n v="992"/>
        <n v="2697"/>
        <n v="2847"/>
        <n v="497"/>
        <n v="1060"/>
        <n v="3600"/>
        <n v="2580"/>
        <n v="760"/>
        <n v="1370"/>
        <n v="1808"/>
        <n v="3375"/>
        <n v="1686"/>
        <n v="562"/>
        <n v="2788"/>
        <n v="3970"/>
        <n v="786"/>
        <n v="2574"/>
        <n v="3856"/>
        <n v="2268"/>
        <n v="3950"/>
        <n v="1452"/>
        <n v="1114"/>
        <n v="2877"/>
        <n v="1988"/>
        <n v="2799"/>
        <n v="1642"/>
        <n v="4356"/>
        <n v="4020"/>
        <n v="1028"/>
        <n v="1050"/>
        <n v="5905"/>
        <n v="743"/>
        <n v="2265"/>
        <n v="1306"/>
        <n v="3452"/>
        <n v="210"/>
        <n v="616"/>
        <n v="2948"/>
        <n v="3591"/>
        <n v="1264"/>
        <n v="902"/>
        <n v="1672"/>
        <n v="2174"/>
        <n v="810"/>
        <n v="4225"/>
        <n v="2544"/>
        <n v="2968"/>
        <n v="2895"/>
        <n v="5385"/>
        <n v="556"/>
        <n v="2605"/>
        <n v="2072"/>
        <n v="4545"/>
        <n v="154"/>
        <n v="1101"/>
        <n v="3498"/>
        <n v="4464"/>
        <n v="398"/>
        <n v="1737"/>
        <n v="2079"/>
        <n v="2836"/>
        <n v="2925"/>
        <n v="975"/>
        <n v="326"/>
        <n v="867"/>
        <n v="3324"/>
        <n v="3042"/>
        <n v="2516"/>
        <n v="585"/>
        <n v="5155"/>
        <n v="1628"/>
        <n v="2994"/>
        <n v="334"/>
        <n v="233"/>
        <n v="1248"/>
        <n v="5870"/>
        <n v="4388"/>
        <n v="950"/>
        <n v="4830"/>
        <n v="944"/>
        <n v="4664"/>
        <n v="195"/>
        <n v="3576"/>
        <n v="3300"/>
        <n v="337"/>
        <n v="521"/>
        <n v="2385"/>
        <n v="866"/>
        <n v="5350"/>
        <n v="457"/>
        <n v="727"/>
        <n v="5985"/>
        <n v="1546"/>
        <n v="3500"/>
        <n v="753"/>
        <n v="1419"/>
        <n v="693"/>
        <n v="3304"/>
        <n v="3130"/>
        <n v="1828"/>
        <n v="1908"/>
        <n v="3165"/>
        <n v="1160"/>
        <n v="3477"/>
        <n v="1852"/>
        <n v="1039"/>
        <n v="218"/>
        <n v="837"/>
        <n v="235"/>
        <n v="933"/>
        <n v="1472"/>
        <n v="282"/>
        <n v="1593"/>
        <n v="1592"/>
        <n v="1960"/>
        <n v="5550"/>
        <n v="2775"/>
        <n v="994"/>
        <n v="843"/>
        <n v="1015"/>
        <n v="5625"/>
        <n v="2528"/>
        <n v="4704"/>
        <n v="924"/>
        <n v="4350"/>
        <n v="2694"/>
        <n v="268"/>
        <n v="2565"/>
        <n v="393"/>
        <n v="1020"/>
        <n v="4776"/>
        <n v="962"/>
        <n v="2366"/>
        <n v="1857"/>
        <n v="650"/>
        <n v="252"/>
        <n v="171"/>
        <n v="429"/>
        <n v="574"/>
        <n v="4255"/>
        <n v="704"/>
        <n v="5145"/>
        <n v="1107"/>
        <n v="2478"/>
        <n v="543"/>
        <n v="4605"/>
        <n v="1398"/>
        <n v="2250"/>
        <n v="915"/>
        <n v="2901"/>
        <n v="984"/>
        <n v="4152"/>
        <n v="384"/>
        <n v="142"/>
        <n v="422"/>
        <n v="5110"/>
        <n v="1872"/>
        <n v="3932"/>
        <n v="3070"/>
        <n v="772"/>
        <n v="2016"/>
        <n v="1163"/>
        <n v="4470"/>
        <n v="592"/>
        <n v="1372"/>
        <n v="993"/>
        <n v="1031"/>
        <n v="3290"/>
        <n v="2499"/>
        <n v="2787"/>
        <n v="854"/>
        <n v="4672"/>
        <n v="1256"/>
        <n v="3450"/>
        <n v="845"/>
        <n v="608"/>
        <n v="2732"/>
        <n v="742"/>
        <n v="1348"/>
        <n v="234"/>
        <n v="1788"/>
        <n v="5835"/>
        <n v="1800"/>
        <n v="335"/>
        <n v="2940"/>
        <n v="2661"/>
        <n v="287"/>
        <n v="2234"/>
        <n v="1475"/>
        <n v="560"/>
        <n v="4660"/>
        <n v="3915"/>
        <n v="1047"/>
        <n v="959"/>
        <n v="3580"/>
        <n v="2158"/>
        <n v="348"/>
        <n v="1851"/>
        <n v="3585"/>
        <n v="3524"/>
        <n v="1928"/>
        <n v="855"/>
        <n v="987"/>
        <n v="1304"/>
        <n v="2955"/>
        <n v="4688"/>
        <n v="3532"/>
        <n v="2340"/>
        <n v="4915"/>
        <n v="649"/>
        <n v="2670"/>
        <n v="1396"/>
        <n v="2034"/>
        <n v="3261"/>
        <n v="1098"/>
        <n v="3900"/>
        <n v="1029"/>
        <n v="4015"/>
        <n v="2490"/>
        <n v="1564"/>
        <n v="623"/>
        <n v="1428"/>
        <n v="4084"/>
        <n v="1563"/>
        <n v="3099"/>
        <n v="5760"/>
        <n v="5945"/>
        <n v="1749"/>
        <n v="5005"/>
        <n v="3135"/>
        <n v="338"/>
        <n v="1382"/>
        <n v="170"/>
        <n v="857"/>
        <n v="907"/>
        <n v="321"/>
        <n v="2095"/>
        <n v="2296"/>
        <n v="4525"/>
        <n v="231"/>
        <n v="3876"/>
        <n v="871"/>
        <n v="920"/>
        <n v="537"/>
        <n v="1590"/>
        <n v="316"/>
        <n v="201"/>
        <n v="1998"/>
        <n v="1850"/>
        <n v="732"/>
        <n v="1572"/>
        <n v="865"/>
        <n v="890"/>
        <n v="1468"/>
        <n v="2138"/>
        <n v="283"/>
        <n v="4400"/>
        <n v="5840"/>
        <n v="1041"/>
        <n v="3306"/>
        <n v="3490"/>
        <n v="1508"/>
        <n v="5060"/>
        <n v="824"/>
        <n v="4760"/>
        <n v="1665"/>
        <n v="5570"/>
        <n v="213"/>
        <n v="3174"/>
        <n v="1430"/>
        <n v="4028"/>
        <n v="3910"/>
        <n v="946"/>
        <n v="2601"/>
        <n v="2451"/>
        <n v="2704"/>
        <n v="2080"/>
        <n v="951"/>
        <n v="319"/>
        <n v="932"/>
        <n v="197"/>
        <n v="3315"/>
        <n v="896"/>
        <n v="5725"/>
        <n v="1958"/>
        <n v="5845"/>
        <n v="785"/>
        <n v="581"/>
        <n v="3568"/>
        <n v="2184"/>
        <n v="981"/>
        <n v="1171"/>
        <n v="849"/>
        <n v="1209"/>
        <n v="230"/>
        <n v="709"/>
        <n v="1034"/>
        <n v="1966"/>
        <n v="3415"/>
        <n v="2324"/>
        <n v="3590"/>
        <n v="4384"/>
        <n v="3095"/>
        <n v="2832"/>
        <n v="5395"/>
        <n v="1365"/>
        <n v="2115"/>
        <n v="1152"/>
        <n v="3745"/>
        <n v="4475"/>
        <n v="2456"/>
        <n v="2936"/>
        <n v="214"/>
        <n v="351"/>
        <n v="2050"/>
        <n v="684"/>
        <n v="784"/>
        <n v="602"/>
        <n v="211"/>
        <n v="3768"/>
        <n v="216"/>
        <n v="1056"/>
        <n v="646"/>
        <n v="1081"/>
        <n v="1442"/>
        <n v="2019"/>
        <n v="836"/>
        <n v="1923"/>
        <n v="504"/>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29.45151111111" createdVersion="8" refreshedVersion="8" minRefreshableVersion="3" recordCount="1500" xr:uid="{8329D81D-2B06-47BC-906E-5D49C9EFBF24}">
  <cacheSource type="worksheet">
    <worksheetSource ref="A1:H1501" sheet="Sales_Data"/>
  </cacheSource>
  <cacheFields count="8">
    <cacheField name="Order_ID" numFmtId="0">
      <sharedItems/>
    </cacheField>
    <cacheField name="Order_Date" numFmtId="164">
      <sharedItems containsSemiMixedTypes="0" containsNonDate="0" containsDate="1" containsString="0" minDate="2023-01-01T00:00:00" maxDate="2024-12-02T00:00:00"/>
    </cacheField>
    <cacheField name="Customer_ID" numFmtId="0">
      <sharedItems count="299">
        <s v="CUST277"/>
        <s v="CUST029"/>
        <s v="CUST215"/>
        <s v="CUST179"/>
        <s v="CUST107"/>
        <s v="CUST018"/>
        <s v="CUST044"/>
        <s v="CUST020"/>
        <s v="CUST202"/>
        <s v="CUST218"/>
        <s v="CUST185"/>
        <s v="CUST233"/>
        <s v="CUST196"/>
        <s v="CUST173"/>
        <s v="CUST186"/>
        <s v="CUST297"/>
        <s v="CUST043"/>
        <s v="CUST160"/>
        <s v="CUST269"/>
        <s v="CUST251"/>
        <s v="CUST066"/>
        <s v="CUST272"/>
        <s v="CUST292"/>
        <s v="CUST256"/>
        <s v="CUST113"/>
        <s v="CUST271"/>
        <s v="CUST244"/>
        <s v="CUST110"/>
        <s v="CUST245"/>
        <s v="CUST174"/>
        <s v="CUST003"/>
        <s v="CUST024"/>
        <s v="CUST102"/>
        <s v="CUST046"/>
        <s v="CUST059"/>
        <s v="CUST095"/>
        <s v="CUST255"/>
        <s v="CUST298"/>
        <s v="CUST006"/>
        <s v="CUST109"/>
        <s v="CUST247"/>
        <s v="CUST234"/>
        <s v="CUST056"/>
        <s v="CUST115"/>
        <s v="CUST041"/>
        <s v="CUST136"/>
        <s v="CUST259"/>
        <s v="CUST105"/>
        <s v="CUST122"/>
        <s v="CUST263"/>
        <s v="CUST299"/>
        <s v="CUST037"/>
        <s v="CUST222"/>
        <s v="CUST128"/>
        <s v="CUST261"/>
        <s v="CUST280"/>
        <s v="CUST189"/>
        <s v="CUST282"/>
        <s v="CUST010"/>
        <s v="CUST004"/>
        <s v="CUST163"/>
        <s v="CUST028"/>
        <s v="CUST008"/>
        <s v="CUST190"/>
        <s v="CUST239"/>
        <s v="CUST099"/>
        <s v="CUST093"/>
        <s v="CUST236"/>
        <s v="CUST203"/>
        <s v="CUST290"/>
        <s v="CUST195"/>
        <s v="CUST287"/>
        <s v="CUST252"/>
        <s v="CUST001"/>
        <s v="CUST073"/>
        <s v="CUST192"/>
        <s v="CUST075"/>
        <s v="CUST030"/>
        <s v="CUST164"/>
        <s v="CUST198"/>
        <s v="CUST038"/>
        <s v="CUST300"/>
        <s v="CUST090"/>
        <s v="CUST294"/>
        <s v="CUST211"/>
        <s v="CUST267"/>
        <s v="CUST034"/>
        <s v="CUST248"/>
        <s v="CUST007"/>
        <s v="CUST116"/>
        <s v="CUST089"/>
        <s v="CUST157"/>
        <s v="CUST100"/>
        <s v="CUST023"/>
        <s v="CUST067"/>
        <s v="CUST055"/>
        <s v="CUST144"/>
        <s v="CUST246"/>
        <s v="CUST170"/>
        <s v="CUST068"/>
        <s v="CUST172"/>
        <s v="CUST273"/>
        <s v="CUST176"/>
        <s v="CUST126"/>
        <s v="CUST155"/>
        <s v="CUST168"/>
        <s v="CUST288"/>
        <s v="CUST191"/>
        <s v="CUST151"/>
        <s v="CUST140"/>
        <s v="CUST167"/>
        <s v="CUST153"/>
        <s v="CUST125"/>
        <s v="CUST221"/>
        <s v="CUST161"/>
        <s v="CUST033"/>
        <s v="CUST145"/>
        <s v="CUST035"/>
        <s v="CUST086"/>
        <s v="CUST016"/>
        <s v="CUST092"/>
        <s v="CUST158"/>
        <s v="CUST022"/>
        <s v="CUST096"/>
        <s v="CUST048"/>
        <s v="CUST012"/>
        <s v="CUST139"/>
        <s v="CUST229"/>
        <s v="CUST027"/>
        <s v="CUST054"/>
        <s v="CUST250"/>
        <s v="CUST071"/>
        <s v="CUST194"/>
        <s v="CUST283"/>
        <s v="CUST187"/>
        <s v="CUST212"/>
        <s v="CUST225"/>
        <s v="CUST291"/>
        <s v="CUST142"/>
        <s v="CUST085"/>
        <s v="CUST253"/>
        <s v="CUST120"/>
        <s v="CUST118"/>
        <s v="CUST279"/>
        <s v="CUST240"/>
        <s v="CUST200"/>
        <s v="CUST134"/>
        <s v="CUST013"/>
        <s v="CUST087"/>
        <s v="CUST039"/>
        <s v="CUST238"/>
        <s v="CUST254"/>
        <s v="CUST183"/>
        <s v="CUST036"/>
        <s v="CUST270"/>
        <s v="CUST274"/>
        <s v="CUST057"/>
        <s v="CUST219"/>
        <s v="CUST112"/>
        <s v="CUST162"/>
        <s v="CUST201"/>
        <s v="CUST197"/>
        <s v="CUST184"/>
        <s v="CUST231"/>
        <s v="CUST081"/>
        <s v="CUST094"/>
        <s v="CUST262"/>
        <s v="CUST147"/>
        <s v="CUST123"/>
        <s v="CUST207"/>
        <s v="CUST117"/>
        <s v="CUST079"/>
        <s v="CUST098"/>
        <s v="CUST208"/>
        <s v="CUST062"/>
        <s v="CUST009"/>
        <s v="CUST268"/>
        <s v="CUST064"/>
        <s v="CUST084"/>
        <s v="CUST002"/>
        <s v="CUST226"/>
        <s v="CUST241"/>
        <s v="CUST106"/>
        <s v="CUST072"/>
        <s v="CUST214"/>
        <s v="CUST049"/>
        <s v="CUST127"/>
        <s v="CUST103"/>
        <s v="CUST026"/>
        <s v="CUST171"/>
        <s v="CUST076"/>
        <s v="CUST220"/>
        <s v="CUST181"/>
        <s v="CUST150"/>
        <s v="CUST069"/>
        <s v="CUST230"/>
        <s v="CUST156"/>
        <s v="CUST209"/>
        <s v="CUST146"/>
        <s v="CUST227"/>
        <s v="CUST114"/>
        <s v="CUST235"/>
        <s v="CUST213"/>
        <s v="CUST177"/>
        <s v="CUST199"/>
        <s v="CUST286"/>
        <s v="CUST080"/>
        <s v="CUST166"/>
        <s v="CUST296"/>
        <s v="CUST017"/>
        <s v="CUST104"/>
        <s v="CUST124"/>
        <s v="CUST111"/>
        <s v="CUST042"/>
        <s v="CUST015"/>
        <s v="CUST293"/>
        <s v="CUST078"/>
        <s v="CUST295"/>
        <s v="CUST188"/>
        <s v="CUST025"/>
        <s v="CUST121"/>
        <s v="CUST228"/>
        <s v="CUST169"/>
        <s v="CUST285"/>
        <s v="CUST275"/>
        <s v="CUST132"/>
        <s v="CUST148"/>
        <s v="CUST045"/>
        <s v="CUST152"/>
        <s v="CUST070"/>
        <s v="CUST180"/>
        <s v="CUST216"/>
        <s v="CUST159"/>
        <s v="CUST047"/>
        <s v="CUST005"/>
        <s v="CUST175"/>
        <s v="CUST143"/>
        <s v="CUST011"/>
        <s v="CUST265"/>
        <s v="CUST154"/>
        <s v="CUST021"/>
        <s v="CUST101"/>
        <s v="CUST281"/>
        <s v="CUST232"/>
        <s v="CUST083"/>
        <s v="CUST129"/>
        <s v="CUST205"/>
        <s v="CUST053"/>
        <s v="CUST137"/>
        <s v="CUST138"/>
        <s v="CUST223"/>
        <s v="CUST014"/>
        <s v="CUST193"/>
        <s v="CUST040"/>
        <s v="CUST088"/>
        <s v="CUST091"/>
        <s v="CUST131"/>
        <s v="CUST050"/>
        <s v="CUST019"/>
        <s v="CUST289"/>
        <s v="CUST082"/>
        <s v="CUST260"/>
        <s v="CUST108"/>
        <s v="CUST264"/>
        <s v="CUST257"/>
        <s v="CUST061"/>
        <s v="CUST178"/>
        <s v="CUST242"/>
        <s v="CUST032"/>
        <s v="CUST133"/>
        <s v="CUST052"/>
        <s v="CUST065"/>
        <s v="CUST206"/>
        <s v="CUST237"/>
        <s v="CUST060"/>
        <s v="CUST063"/>
        <s v="CUST135"/>
        <s v="CUST284"/>
        <s v="CUST031"/>
        <s v="CUST058"/>
        <s v="CUST224"/>
        <s v="CUST243"/>
        <s v="CUST074"/>
        <s v="CUST149"/>
        <s v="CUST278"/>
        <s v="CUST266"/>
        <s v="CUST119"/>
        <s v="CUST276"/>
        <s v="CUST204"/>
        <s v="CUST210"/>
        <s v="CUST077"/>
        <s v="CUST097"/>
        <s v="CUST165"/>
        <s v="CUST051"/>
        <s v="CUST258"/>
        <s v="CUST141"/>
        <s v="CUST249"/>
        <s v="CUST130"/>
        <s v="CUST182"/>
      </sharedItems>
    </cacheField>
    <cacheField name="Region" numFmtId="0">
      <sharedItems count="4">
        <s v="South"/>
        <s v="West"/>
        <s v="North"/>
        <s v="East"/>
      </sharedItems>
    </cacheField>
    <cacheField name="Product" numFmtId="0">
      <sharedItems count="5">
        <s v="Phone"/>
        <s v="Laptop"/>
        <s v="Monitor"/>
        <s v="Tablet"/>
        <s v="Headphones"/>
      </sharedItems>
    </cacheField>
    <cacheField name="Quantity" numFmtId="0">
      <sharedItems containsSemiMixedTypes="0" containsString="0" containsNumber="1" containsInteger="1" minValue="1" maxValue="5"/>
    </cacheField>
    <cacheField name="Unit_Price" numFmtId="0">
      <sharedItems containsSemiMixedTypes="0" containsString="0" containsNumber="1" containsInteger="1" minValue="100" maxValue="1200"/>
    </cacheField>
    <cacheField name="Revenue" numFmtId="0">
      <sharedItems containsSemiMixedTypes="0" containsString="0" containsNumber="1" containsInteger="1" minValue="100" maxValue="6000"/>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45.699678240744" backgroundQuery="1" createdVersion="8" refreshedVersion="8" minRefreshableVersion="3" recordCount="0" supportSubquery="1" supportAdvancedDrill="1" xr:uid="{207936E5-C73B-407A-A140-5E30FD9FB48D}">
  <cacheSource type="external" connectionId="1"/>
  <cacheFields count="5">
    <cacheField name="[Table1  Order_Date   Revenue].[Customer_ID].[Customer_ID]" caption="Customer_ID" numFmtId="0" hierarchy="1" level="1">
      <sharedItems count="10">
        <s v="CUST001"/>
        <s v="CUST003"/>
        <s v="CUST035"/>
        <s v="CUST043"/>
        <s v="CUST048"/>
        <s v="CUST105"/>
        <s v="CUST109"/>
        <s v="CUST240"/>
        <s v="CUST250"/>
        <s v="CUST288"/>
      </sharedItems>
    </cacheField>
    <cacheField name="[Table1  Order_Date   Revenue].[Order_Date (Month)].[Order_Date (Month)]" caption="Order_Date (Month)" numFmtId="0" hierarchy="7" level="1">
      <sharedItems count="12">
        <s v="Jan"/>
        <s v="Feb"/>
        <s v="Mar"/>
        <s v="Apr"/>
        <s v="May"/>
        <s v="Jun"/>
        <s v="Jul"/>
        <s v="Aug"/>
        <s v="Sep"/>
        <s v="Oct"/>
        <s v="Nov"/>
        <s v="Dec"/>
      </sharedItems>
    </cacheField>
    <cacheField name="[Table1  Order_Date   Revenue].[Order_Date (Year)].[Order_Date (Year)]" caption="Order_Date (Year)" numFmtId="0" hierarchy="8" level="1">
      <sharedItems count="2">
        <s v="2023"/>
        <s v="2024"/>
      </sharedItems>
    </cacheField>
    <cacheField name="[Table1  Order_Date   Revenue].[Order_Date].[Order_Date]" caption="Order_Date" numFmtId="0" level="1">
      <sharedItems containsSemiMixedTypes="0" containsNonDate="0" containsString="0"/>
    </cacheField>
    <cacheField name="[Measures].[Sum of Revenue]" caption="Sum of Revenue" numFmtId="0" hierarchy="13" level="32767"/>
  </cacheFields>
  <cacheHierarchies count="17">
    <cacheHierarchy uniqueName="[Table1  Order_Date   Revenue].[Order_Date]" caption="Order_Date" attribute="1" time="1" defaultMemberUniqueName="[Table1  Order_Date   Revenue].[Order_Date].[All]" allUniqueName="[Table1  Order_Date   Revenue].[Order_Date].[All]" dimensionUniqueName="[Table1  Order_Date   Revenue]" displayFolder="" count="2" memberValueDatatype="7" unbalanced="0">
      <fieldsUsage count="2">
        <fieldUsage x="-1"/>
        <fieldUsage x="3"/>
      </fieldsUsage>
    </cacheHierarchy>
    <cacheHierarchy uniqueName="[Table1  Order_Date   Revenue].[Customer_ID]" caption="Customer_ID" attribute="1" defaultMemberUniqueName="[Table1  Order_Date   Revenue].[Customer_ID].[All]" allUniqueName="[Table1  Order_Date   Revenue].[Customer_ID].[All]" dimensionUniqueName="[Table1  Order_Date   Revenue]" displayFolder="" count="2" memberValueDatatype="130" unbalanced="0">
      <fieldsUsage count="2">
        <fieldUsage x="-1"/>
        <fieldUsage x="0"/>
      </fieldsUsage>
    </cacheHierarchy>
    <cacheHierarchy uniqueName="[Table1  Order_Date   Revenue].[Region]" caption="Region" attribute="1" defaultMemberUniqueName="[Table1  Order_Date   Revenue].[Region].[All]" allUniqueName="[Table1  Order_Date   Revenue].[Region].[All]" dimensionUniqueName="[Table1  Order_Date   Revenue]" displayFolder="" count="0" memberValueDatatype="130" unbalanced="0"/>
    <cacheHierarchy uniqueName="[Table1  Order_Date   Revenue].[Product]" caption="Product" attribute="1" defaultMemberUniqueName="[Table1  Order_Date   Revenue].[Product].[All]" allUniqueName="[Table1  Order_Date   Revenue].[Product].[All]" dimensionUniqueName="[Table1  Order_Date   Revenue]" displayFolder="" count="2" memberValueDatatype="130" unbalanced="0"/>
    <cacheHierarchy uniqueName="[Table1  Order_Date   Revenue].[Quantity]" caption="Quantity" attribute="1" defaultMemberUniqueName="[Table1  Order_Date   Revenue].[Quantity].[All]" allUniqueName="[Table1  Order_Date   Revenue].[Quantity].[All]" dimensionUniqueName="[Table1  Order_Date   Revenue]" displayFolder="" count="0" memberValueDatatype="20" unbalanced="0"/>
    <cacheHierarchy uniqueName="[Table1  Order_Date   Revenue].[Unit_Price]" caption="Unit_Price" attribute="1" defaultMemberUniqueName="[Table1  Order_Date   Revenue].[Unit_Price].[All]" allUniqueName="[Table1  Order_Date   Revenue].[Unit_Price].[All]" dimensionUniqueName="[Table1  Order_Date   Revenue]" displayFolder="" count="0" memberValueDatatype="20" unbalanced="0"/>
    <cacheHierarchy uniqueName="[Table1  Order_Date   Revenue].[Revenue]" caption="Revenue" attribute="1" defaultMemberUniqueName="[Table1  Order_Date   Revenue].[Revenue].[All]" allUniqueName="[Table1  Order_Date   Revenue].[Revenue].[All]" dimensionUniqueName="[Table1  Order_Date   Revenue]" displayFolder="" count="0" memberValueDatatype="20" unbalanced="0"/>
    <cacheHierarchy uniqueName="[Table1  Order_Date   Revenue].[Order_Date (Month)]" caption="Order_Date (Month)" attribute="1" defaultMemberUniqueName="[Table1  Order_Date   Revenue].[Order_Date (Month)].[All]" allUniqueName="[Table1  Order_Date   Revenue].[Order_Date (Month)].[All]" dimensionUniqueName="[Table1  Order_Date   Revenue]" displayFolder="" count="2" memberValueDatatype="130" unbalanced="0">
      <fieldsUsage count="2">
        <fieldUsage x="-1"/>
        <fieldUsage x="1"/>
      </fieldsUsage>
    </cacheHierarchy>
    <cacheHierarchy uniqueName="[Table1  Order_Date   Revenue].[Order_Date (Year)]" caption="Order_Date (Year)" attribute="1" defaultMemberUniqueName="[Table1  Order_Date   Revenue].[Order_Date (Year)].[All]" allUniqueName="[Table1  Order_Date   Revenue].[Order_Date (Year)].[All]" dimensionUniqueName="[Table1  Order_Date   Revenue]" displayFolder="" count="2" memberValueDatatype="130" unbalanced="0">
      <fieldsUsage count="2">
        <fieldUsage x="-1"/>
        <fieldUsage x="2"/>
      </fieldsUsage>
    </cacheHierarchy>
    <cacheHierarchy uniqueName="[Table1  Order_Date   Revenue].[Order_Date (Quarter)]" caption="Order_Date (Quarter)" attribute="1" defaultMemberUniqueName="[Table1  Order_Date   Revenue].[Order_Date (Quarter)].[All]" allUniqueName="[Table1  Order_Date   Revenue].[Order_Date (Quarter)].[All]" dimensionUniqueName="[Table1  Order_Date   Revenue]" displayFolder="" count="0" memberValueDatatype="130" unbalanced="0"/>
    <cacheHierarchy uniqueName="[Table1  Order_Date   Revenue].[Order_Date (Month Index)]" caption="Order_Date (Month Index)" attribute="1" defaultMemberUniqueName="[Table1  Order_Date   Revenue].[Order_Date (Month Index)].[All]" allUniqueName="[Table1  Order_Date   Revenue].[Order_Date (Month Index)].[All]" dimensionUniqueName="[Table1  Order_Date   Revenue]" displayFolder="" count="0" memberValueDatatype="20" unbalanced="0" hidden="1"/>
    <cacheHierarchy uniqueName="[Measures].[__XL_Count Table1  Order_Date   Revenue]" caption="__XL_Count Table1  Order_Date   Revenue" measure="1" displayFolder="" measureGroup="Table1  Order_Date   Revenue" count="0" hidden="1"/>
    <cacheHierarchy uniqueName="[Measures].[__No measures defined]" caption="__No measures defined" measure="1" displayFolder="" count="0" hidden="1"/>
    <cacheHierarchy uniqueName="[Measures].[Sum of Revenue]" caption="Sum of Revenue" measure="1" displayFolder="" measureGroup="Table1  Order_Date   Revenue" count="0" oneField="1" hidden="1">
      <fieldsUsage count="1">
        <fieldUsage x="4"/>
      </fieldsUsage>
      <extLst>
        <ext xmlns:x15="http://schemas.microsoft.com/office/spreadsheetml/2010/11/main" uri="{B97F6D7D-B522-45F9-BDA1-12C45D357490}">
          <x15:cacheHierarchy aggregatedColumn="6"/>
        </ext>
      </extLst>
    </cacheHierarchy>
    <cacheHierarchy uniqueName="[Measures].[Count of Customer_ID]" caption="Count of Customer_ID" measure="1" displayFolder="" measureGroup="Table1  Order_Date   Revenue" count="0" hidden="1">
      <extLst>
        <ext xmlns:x15="http://schemas.microsoft.com/office/spreadsheetml/2010/11/main" uri="{B97F6D7D-B522-45F9-BDA1-12C45D357490}">
          <x15:cacheHierarchy aggregatedColumn="1"/>
        </ext>
      </extLst>
    </cacheHierarchy>
    <cacheHierarchy uniqueName="[Measures].[Count of Order_Date]" caption="Count of Order_Date" measure="1" displayFolder="" measureGroup="Table1  Order_Date   Revenue" count="0" hidden="1">
      <extLst>
        <ext xmlns:x15="http://schemas.microsoft.com/office/spreadsheetml/2010/11/main" uri="{B97F6D7D-B522-45F9-BDA1-12C45D357490}">
          <x15:cacheHierarchy aggregatedColumn="0"/>
        </ext>
      </extLst>
    </cacheHierarchy>
    <cacheHierarchy uniqueName="[Measures].[Count of Order_Date (Month)]" caption="Count of Order_Date (Month)" measure="1" displayFolder="" measureGroup="Table1  Order_Date   Revenue" count="0" hidden="1">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Table1  Order_Date   Revenue" uniqueName="[Table1  Order_Date   Revenue]" caption="Table1  Order_Date   Revenue"/>
  </dimensions>
  <measureGroups count="1">
    <measureGroup name="Table1  Order_Date   Revenue" caption="Table1  Order_Date   Revenu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29.967564236111" backgroundQuery="1" createdVersion="3" refreshedVersion="8" minRefreshableVersion="3" recordCount="0" supportSubquery="1" supportAdvancedDrill="1" xr:uid="{0AA8D454-080B-41FC-876E-119D4E4C31C5}">
  <cacheSource type="external" connectionId="1">
    <extLst>
      <ext xmlns:x14="http://schemas.microsoft.com/office/spreadsheetml/2009/9/main" uri="{F057638F-6D5F-4e77-A914-E7F072B9BCA8}">
        <x14:sourceConnection name="ThisWorkbookDataModel"/>
      </ext>
    </extLst>
  </cacheSource>
  <cacheFields count="0"/>
  <cacheHierarchies count="17">
    <cacheHierarchy uniqueName="[Table1  Order_Date   Revenue].[Order_Date]" caption="Order_Date" attribute="1" time="1" defaultMemberUniqueName="[Table1  Order_Date   Revenue].[Order_Date].[All]" allUniqueName="[Table1  Order_Date   Revenue].[Order_Date].[All]" dimensionUniqueName="[Table1  Order_Date   Revenue]" displayFolder="" count="0" memberValueDatatype="7" unbalanced="0"/>
    <cacheHierarchy uniqueName="[Table1  Order_Date   Revenue].[Customer_ID]" caption="Customer_ID" attribute="1" defaultMemberUniqueName="[Table1  Order_Date   Revenue].[Customer_ID].[All]" allUniqueName="[Table1  Order_Date   Revenue].[Customer_ID].[All]" dimensionUniqueName="[Table1  Order_Date   Revenue]" displayFolder="" count="0" memberValueDatatype="130" unbalanced="0"/>
    <cacheHierarchy uniqueName="[Table1  Order_Date   Revenue].[Region]" caption="Region" attribute="1" defaultMemberUniqueName="[Table1  Order_Date   Revenue].[Region].[All]" allUniqueName="[Table1  Order_Date   Revenue].[Region].[All]" dimensionUniqueName="[Table1  Order_Date   Revenue]" displayFolder="" count="0" memberValueDatatype="130" unbalanced="0"/>
    <cacheHierarchy uniqueName="[Table1  Order_Date   Revenue].[Product]" caption="Product" attribute="1" defaultMemberUniqueName="[Table1  Order_Date   Revenue].[Product].[All]" allUniqueName="[Table1  Order_Date   Revenue].[Product].[All]" dimensionUniqueName="[Table1  Order_Date   Revenue]" displayFolder="" count="2" memberValueDatatype="130" unbalanced="0"/>
    <cacheHierarchy uniqueName="[Table1  Order_Date   Revenue].[Quantity]" caption="Quantity" attribute="1" defaultMemberUniqueName="[Table1  Order_Date   Revenue].[Quantity].[All]" allUniqueName="[Table1  Order_Date   Revenue].[Quantity].[All]" dimensionUniqueName="[Table1  Order_Date   Revenue]" displayFolder="" count="0" memberValueDatatype="20" unbalanced="0"/>
    <cacheHierarchy uniqueName="[Table1  Order_Date   Revenue].[Unit_Price]" caption="Unit_Price" attribute="1" defaultMemberUniqueName="[Table1  Order_Date   Revenue].[Unit_Price].[All]" allUniqueName="[Table1  Order_Date   Revenue].[Unit_Price].[All]" dimensionUniqueName="[Table1  Order_Date   Revenue]" displayFolder="" count="0" memberValueDatatype="20" unbalanced="0"/>
    <cacheHierarchy uniqueName="[Table1  Order_Date   Revenue].[Revenue]" caption="Revenue" attribute="1" defaultMemberUniqueName="[Table1  Order_Date   Revenue].[Revenue].[All]" allUniqueName="[Table1  Order_Date   Revenue].[Revenue].[All]" dimensionUniqueName="[Table1  Order_Date   Revenue]" displayFolder="" count="0" memberValueDatatype="20" unbalanced="0"/>
    <cacheHierarchy uniqueName="[Table1  Order_Date   Revenue].[Order_Date (Month)]" caption="Order_Date (Month)" attribute="1" defaultMemberUniqueName="[Table1  Order_Date   Revenue].[Order_Date (Month)].[All]" allUniqueName="[Table1  Order_Date   Revenue].[Order_Date (Month)].[All]" dimensionUniqueName="[Table1  Order_Date   Revenue]" displayFolder="" count="0" memberValueDatatype="130" unbalanced="0"/>
    <cacheHierarchy uniqueName="[Table1  Order_Date   Revenue].[Order_Date (Year)]" caption="Order_Date (Year)" attribute="1" defaultMemberUniqueName="[Table1  Order_Date   Revenue].[Order_Date (Year)].[All]" allUniqueName="[Table1  Order_Date   Revenue].[Order_Date (Year)].[All]" dimensionUniqueName="[Table1  Order_Date   Revenue]" displayFolder="" count="0" memberValueDatatype="130" unbalanced="0"/>
    <cacheHierarchy uniqueName="[Table1  Order_Date   Revenue].[Order_Date (Quarter)]" caption="Order_Date (Quarter)" attribute="1" defaultMemberUniqueName="[Table1  Order_Date   Revenue].[Order_Date (Quarter)].[All]" allUniqueName="[Table1  Order_Date   Revenue].[Order_Date (Quarter)].[All]" dimensionUniqueName="[Table1  Order_Date   Revenue]" displayFolder="" count="0" memberValueDatatype="130" unbalanced="0"/>
    <cacheHierarchy uniqueName="[Table1  Order_Date   Revenue].[Order_Date (Month Index)]" caption="Order_Date (Month Index)" attribute="1" defaultMemberUniqueName="[Table1  Order_Date   Revenue].[Order_Date (Month Index)].[All]" allUniqueName="[Table1  Order_Date   Revenue].[Order_Date (Month Index)].[All]" dimensionUniqueName="[Table1  Order_Date   Revenue]" displayFolder="" count="0" memberValueDatatype="20" unbalanced="0" hidden="1"/>
    <cacheHierarchy uniqueName="[Measures].[__XL_Count Table1  Order_Date   Revenue]" caption="__XL_Count Table1  Order_Date   Revenue" measure="1" displayFolder="" measureGroup="Table1  Order_Date   Revenue" count="0" hidden="1"/>
    <cacheHierarchy uniqueName="[Measures].[__No measures defined]" caption="__No measures defined" measure="1" displayFolder="" count="0" hidden="1"/>
    <cacheHierarchy uniqueName="[Measures].[Sum of Revenue]" caption="Sum of Revenue" measure="1" displayFolder="" measureGroup="Table1  Order_Date   Revenue" count="0" hidden="1">
      <extLst>
        <ext xmlns:x15="http://schemas.microsoft.com/office/spreadsheetml/2010/11/main" uri="{B97F6D7D-B522-45F9-BDA1-12C45D357490}">
          <x15:cacheHierarchy aggregatedColumn="6"/>
        </ext>
      </extLst>
    </cacheHierarchy>
    <cacheHierarchy uniqueName="[Measures].[Count of Customer_ID]" caption="Count of Customer_ID" measure="1" displayFolder="" measureGroup="Table1  Order_Date   Revenue" count="0" hidden="1">
      <extLst>
        <ext xmlns:x15="http://schemas.microsoft.com/office/spreadsheetml/2010/11/main" uri="{B97F6D7D-B522-45F9-BDA1-12C45D357490}">
          <x15:cacheHierarchy aggregatedColumn="1"/>
        </ext>
      </extLst>
    </cacheHierarchy>
    <cacheHierarchy uniqueName="[Measures].[Count of Order_Date]" caption="Count of Order_Date" measure="1" displayFolder="" measureGroup="Table1  Order_Date   Revenue" count="0" hidden="1">
      <extLst>
        <ext xmlns:x15="http://schemas.microsoft.com/office/spreadsheetml/2010/11/main" uri="{B97F6D7D-B522-45F9-BDA1-12C45D357490}">
          <x15:cacheHierarchy aggregatedColumn="0"/>
        </ext>
      </extLst>
    </cacheHierarchy>
    <cacheHierarchy uniqueName="[Measures].[Count of Order_Date (Month)]" caption="Count of Order_Date (Month)" measure="1" displayFolder="" measureGroup="Table1  Order_Date   Revenue"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slicerData="1" pivotCacheId="69782658"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29.967569328706" backgroundQuery="1" createdVersion="3" refreshedVersion="8" minRefreshableVersion="3" recordCount="0" supportSubquery="1" supportAdvancedDrill="1" xr:uid="{668E60C4-71DB-405D-949D-DD5E47D3B980}">
  <cacheSource type="external" connectionId="1">
    <extLst>
      <ext xmlns:x14="http://schemas.microsoft.com/office/spreadsheetml/2009/9/main" uri="{F057638F-6D5F-4e77-A914-E7F072B9BCA8}">
        <x14:sourceConnection name="ThisWorkbookDataModel"/>
      </ext>
    </extLst>
  </cacheSource>
  <cacheFields count="0"/>
  <cacheHierarchies count="17">
    <cacheHierarchy uniqueName="[Table1  Order_Date   Revenue].[Order_Date]" caption="Order_Date" attribute="1" time="1" defaultMemberUniqueName="[Table1  Order_Date   Revenue].[Order_Date].[All]" allUniqueName="[Table1  Order_Date   Revenue].[Order_Date].[All]" dimensionUniqueName="[Table1  Order_Date   Revenue]" displayFolder="" count="2" memberValueDatatype="7" unbalanced="0"/>
    <cacheHierarchy uniqueName="[Table1  Order_Date   Revenue].[Customer_ID]" caption="Customer_ID" attribute="1" defaultMemberUniqueName="[Table1  Order_Date   Revenue].[Customer_ID].[All]" allUniqueName="[Table1  Order_Date   Revenue].[Customer_ID].[All]" dimensionUniqueName="[Table1  Order_Date   Revenue]" displayFolder="" count="0" memberValueDatatype="130" unbalanced="0"/>
    <cacheHierarchy uniqueName="[Table1  Order_Date   Revenue].[Region]" caption="Region" attribute="1" defaultMemberUniqueName="[Table1  Order_Date   Revenue].[Region].[All]" allUniqueName="[Table1  Order_Date   Revenue].[Region].[All]" dimensionUniqueName="[Table1  Order_Date   Revenue]" displayFolder="" count="0" memberValueDatatype="130" unbalanced="0"/>
    <cacheHierarchy uniqueName="[Table1  Order_Date   Revenue].[Product]" caption="Product" attribute="1" defaultMemberUniqueName="[Table1  Order_Date   Revenue].[Product].[All]" allUniqueName="[Table1  Order_Date   Revenue].[Product].[All]" dimensionUniqueName="[Table1  Order_Date   Revenue]" displayFolder="" count="0" memberValueDatatype="130" unbalanced="0"/>
    <cacheHierarchy uniqueName="[Table1  Order_Date   Revenue].[Quantity]" caption="Quantity" attribute="1" defaultMemberUniqueName="[Table1  Order_Date   Revenue].[Quantity].[All]" allUniqueName="[Table1  Order_Date   Revenue].[Quantity].[All]" dimensionUniqueName="[Table1  Order_Date   Revenue]" displayFolder="" count="0" memberValueDatatype="20" unbalanced="0"/>
    <cacheHierarchy uniqueName="[Table1  Order_Date   Revenue].[Unit_Price]" caption="Unit_Price" attribute="1" defaultMemberUniqueName="[Table1  Order_Date   Revenue].[Unit_Price].[All]" allUniqueName="[Table1  Order_Date   Revenue].[Unit_Price].[All]" dimensionUniqueName="[Table1  Order_Date   Revenue]" displayFolder="" count="0" memberValueDatatype="20" unbalanced="0"/>
    <cacheHierarchy uniqueName="[Table1  Order_Date   Revenue].[Revenue]" caption="Revenue" attribute="1" defaultMemberUniqueName="[Table1  Order_Date   Revenue].[Revenue].[All]" allUniqueName="[Table1  Order_Date   Revenue].[Revenue].[All]" dimensionUniqueName="[Table1  Order_Date   Revenue]" displayFolder="" count="0" memberValueDatatype="20" unbalanced="0"/>
    <cacheHierarchy uniqueName="[Table1  Order_Date   Revenue].[Order_Date (Month)]" caption="Order_Date (Month)" attribute="1" defaultMemberUniqueName="[Table1  Order_Date   Revenue].[Order_Date (Month)].[All]" allUniqueName="[Table1  Order_Date   Revenue].[Order_Date (Month)].[All]" dimensionUniqueName="[Table1  Order_Date   Revenue]" displayFolder="" count="0" memberValueDatatype="130" unbalanced="0"/>
    <cacheHierarchy uniqueName="[Table1  Order_Date   Revenue].[Order_Date (Year)]" caption="Order_Date (Year)" attribute="1" defaultMemberUniqueName="[Table1  Order_Date   Revenue].[Order_Date (Year)].[All]" allUniqueName="[Table1  Order_Date   Revenue].[Order_Date (Year)].[All]" dimensionUniqueName="[Table1  Order_Date   Revenue]" displayFolder="" count="0" memberValueDatatype="130" unbalanced="0"/>
    <cacheHierarchy uniqueName="[Table1  Order_Date   Revenue].[Order_Date (Quarter)]" caption="Order_Date (Quarter)" attribute="1" defaultMemberUniqueName="[Table1  Order_Date   Revenue].[Order_Date (Quarter)].[All]" allUniqueName="[Table1  Order_Date   Revenue].[Order_Date (Quarter)].[All]" dimensionUniqueName="[Table1  Order_Date   Revenue]" displayFolder="" count="0" memberValueDatatype="130" unbalanced="0"/>
    <cacheHierarchy uniqueName="[Table1  Order_Date   Revenue].[Order_Date (Month Index)]" caption="Order_Date (Month Index)" attribute="1" defaultMemberUniqueName="[Table1  Order_Date   Revenue].[Order_Date (Month Index)].[All]" allUniqueName="[Table1  Order_Date   Revenue].[Order_Date (Month Index)].[All]" dimensionUniqueName="[Table1  Order_Date   Revenue]" displayFolder="" count="0" memberValueDatatype="20" unbalanced="0" hidden="1"/>
    <cacheHierarchy uniqueName="[Measures].[__XL_Count Table1  Order_Date   Revenue]" caption="__XL_Count Table1  Order_Date   Revenue" measure="1" displayFolder="" measureGroup="Table1  Order_Date   Revenue" count="0" hidden="1"/>
    <cacheHierarchy uniqueName="[Measures].[__No measures defined]" caption="__No measures defined" measure="1" displayFolder="" count="0" hidden="1"/>
    <cacheHierarchy uniqueName="[Measures].[Sum of Revenue]" caption="Sum of Revenue" measure="1" displayFolder="" measureGroup="Table1  Order_Date   Revenue" count="0" hidden="1">
      <extLst>
        <ext xmlns:x15="http://schemas.microsoft.com/office/spreadsheetml/2010/11/main" uri="{B97F6D7D-B522-45F9-BDA1-12C45D357490}">
          <x15:cacheHierarchy aggregatedColumn="6"/>
        </ext>
      </extLst>
    </cacheHierarchy>
    <cacheHierarchy uniqueName="[Measures].[Count of Customer_ID]" caption="Count of Customer_ID" measure="1" displayFolder="" measureGroup="Table1  Order_Date   Revenue" count="0" hidden="1">
      <extLst>
        <ext xmlns:x15="http://schemas.microsoft.com/office/spreadsheetml/2010/11/main" uri="{B97F6D7D-B522-45F9-BDA1-12C45D357490}">
          <x15:cacheHierarchy aggregatedColumn="1"/>
        </ext>
      </extLst>
    </cacheHierarchy>
    <cacheHierarchy uniqueName="[Measures].[Count of Order_Date]" caption="Count of Order_Date" measure="1" displayFolder="" measureGroup="Table1  Order_Date   Revenue" count="0" hidden="1">
      <extLst>
        <ext xmlns:x15="http://schemas.microsoft.com/office/spreadsheetml/2010/11/main" uri="{B97F6D7D-B522-45F9-BDA1-12C45D357490}">
          <x15:cacheHierarchy aggregatedColumn="0"/>
        </ext>
      </extLst>
    </cacheHierarchy>
    <cacheHierarchy uniqueName="[Measures].[Count of Order_Date (Month)]" caption="Count of Order_Date (Month)" measure="1" displayFolder="" measureGroup="Table1  Order_Date   Revenue"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pivotCacheId="417200987"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s v="ORD00001"/>
    <d v="2023-04-25T00:00:00"/>
    <s v="CUST277"/>
    <s v="South"/>
    <x v="0"/>
    <n v="2"/>
    <n v="886"/>
    <x v="0"/>
  </r>
  <r>
    <s v="ORD00002"/>
    <d v="2023-09-18T00:00:00"/>
    <s v="CUST029"/>
    <s v="South"/>
    <x v="1"/>
    <n v="2"/>
    <n v="1052"/>
    <x v="1"/>
  </r>
  <r>
    <s v="ORD00003"/>
    <d v="2024-09-18T00:00:00"/>
    <s v="CUST215"/>
    <s v="West"/>
    <x v="0"/>
    <n v="1"/>
    <n v="441"/>
    <x v="2"/>
  </r>
  <r>
    <s v="ORD00004"/>
    <d v="2023-06-01T00:00:00"/>
    <s v="CUST179"/>
    <s v="North"/>
    <x v="0"/>
    <n v="3"/>
    <n v="1115"/>
    <x v="3"/>
  </r>
  <r>
    <s v="ORD00005"/>
    <d v="2023-07-01T00:00:00"/>
    <s v="CUST107"/>
    <s v="West"/>
    <x v="1"/>
    <n v="3"/>
    <n v="856"/>
    <x v="4"/>
  </r>
  <r>
    <s v="ORD00006"/>
    <d v="2024-09-08T00:00:00"/>
    <s v="CUST018"/>
    <s v="North"/>
    <x v="2"/>
    <n v="5"/>
    <n v="788"/>
    <x v="5"/>
  </r>
  <r>
    <s v="ORD00007"/>
    <d v="2023-07-02T00:00:00"/>
    <s v="CUST179"/>
    <s v="East"/>
    <x v="0"/>
    <n v="1"/>
    <n v="654"/>
    <x v="6"/>
  </r>
  <r>
    <s v="ORD00008"/>
    <d v="2024-10-19T00:00:00"/>
    <s v="CUST044"/>
    <s v="East"/>
    <x v="1"/>
    <n v="3"/>
    <n v="512"/>
    <x v="7"/>
  </r>
  <r>
    <s v="ORD00009"/>
    <d v="2023-08-27T00:00:00"/>
    <s v="CUST020"/>
    <s v="North"/>
    <x v="3"/>
    <n v="5"/>
    <n v="531"/>
    <x v="8"/>
  </r>
  <r>
    <s v="ORD00010"/>
    <d v="2024-01-20T00:00:00"/>
    <s v="CUST202"/>
    <s v="North"/>
    <x v="4"/>
    <n v="5"/>
    <n v="448"/>
    <x v="9"/>
  </r>
  <r>
    <s v="ORD00011"/>
    <d v="2023-01-07T00:00:00"/>
    <s v="CUST218"/>
    <s v="North"/>
    <x v="3"/>
    <n v="1"/>
    <n v="831"/>
    <x v="10"/>
  </r>
  <r>
    <s v="ORD00012"/>
    <d v="2023-05-22T00:00:00"/>
    <s v="CUST185"/>
    <s v="South"/>
    <x v="4"/>
    <n v="4"/>
    <n v="361"/>
    <x v="11"/>
  </r>
  <r>
    <s v="ORD00013"/>
    <d v="2023-10-24T00:00:00"/>
    <s v="CUST233"/>
    <s v="West"/>
    <x v="3"/>
    <n v="5"/>
    <n v="1072"/>
    <x v="12"/>
  </r>
  <r>
    <s v="ORD00014"/>
    <d v="2024-09-03T00:00:00"/>
    <s v="CUST196"/>
    <s v="North"/>
    <x v="4"/>
    <n v="1"/>
    <n v="114"/>
    <x v="13"/>
  </r>
  <r>
    <s v="ORD00015"/>
    <d v="2023-09-08T00:00:00"/>
    <s v="CUST173"/>
    <s v="West"/>
    <x v="4"/>
    <n v="3"/>
    <n v="918"/>
    <x v="14"/>
  </r>
  <r>
    <s v="ORD00016"/>
    <d v="2023-09-08T00:00:00"/>
    <s v="CUST186"/>
    <s v="East"/>
    <x v="1"/>
    <n v="4"/>
    <n v="793"/>
    <x v="15"/>
  </r>
  <r>
    <s v="ORD00017"/>
    <d v="2024-07-05T00:00:00"/>
    <s v="CUST297"/>
    <s v="South"/>
    <x v="2"/>
    <n v="5"/>
    <n v="974"/>
    <x v="16"/>
  </r>
  <r>
    <s v="ORD00018"/>
    <d v="2023-12-28T00:00:00"/>
    <s v="CUST043"/>
    <s v="South"/>
    <x v="1"/>
    <n v="4"/>
    <n v="158"/>
    <x v="17"/>
  </r>
  <r>
    <s v="ORD00019"/>
    <d v="2023-11-29T00:00:00"/>
    <s v="CUST160"/>
    <s v="North"/>
    <x v="0"/>
    <n v="4"/>
    <n v="431"/>
    <x v="18"/>
  </r>
  <r>
    <s v="ORD00020"/>
    <d v="2023-04-29T00:00:00"/>
    <s v="CUST269"/>
    <s v="North"/>
    <x v="3"/>
    <n v="2"/>
    <n v="1151"/>
    <x v="19"/>
  </r>
  <r>
    <s v="ORD00021"/>
    <d v="2024-08-22T00:00:00"/>
    <s v="CUST251"/>
    <s v="South"/>
    <x v="1"/>
    <n v="4"/>
    <n v="890"/>
    <x v="20"/>
  </r>
  <r>
    <s v="ORD00022"/>
    <d v="2024-02-19T00:00:00"/>
    <s v="CUST066"/>
    <s v="West"/>
    <x v="0"/>
    <n v="5"/>
    <n v="460"/>
    <x v="21"/>
  </r>
  <r>
    <s v="ORD00023"/>
    <d v="2024-06-07T00:00:00"/>
    <s v="CUST272"/>
    <s v="North"/>
    <x v="1"/>
    <n v="5"/>
    <n v="315"/>
    <x v="22"/>
  </r>
  <r>
    <s v="ORD00024"/>
    <d v="2024-05-23T00:00:00"/>
    <s v="CUST292"/>
    <s v="West"/>
    <x v="0"/>
    <n v="2"/>
    <n v="915"/>
    <x v="23"/>
  </r>
  <r>
    <s v="ORD00025"/>
    <d v="2024-07-29T00:00:00"/>
    <s v="CUST256"/>
    <s v="South"/>
    <x v="4"/>
    <n v="2"/>
    <n v="486"/>
    <x v="24"/>
  </r>
  <r>
    <s v="ORD00026"/>
    <d v="2023-01-25T00:00:00"/>
    <s v="CUST113"/>
    <s v="South"/>
    <x v="4"/>
    <n v="5"/>
    <n v="539"/>
    <x v="25"/>
  </r>
  <r>
    <s v="ORD00027"/>
    <d v="2024-01-24T00:00:00"/>
    <s v="CUST271"/>
    <s v="South"/>
    <x v="4"/>
    <n v="1"/>
    <n v="148"/>
    <x v="26"/>
  </r>
  <r>
    <s v="ORD00028"/>
    <d v="2024-05-17T00:00:00"/>
    <s v="CUST244"/>
    <s v="West"/>
    <x v="2"/>
    <n v="4"/>
    <n v="791"/>
    <x v="27"/>
  </r>
  <r>
    <s v="ORD00029"/>
    <d v="2024-11-15T00:00:00"/>
    <s v="CUST110"/>
    <s v="East"/>
    <x v="3"/>
    <n v="2"/>
    <n v="457"/>
    <x v="28"/>
  </r>
  <r>
    <s v="ORD00030"/>
    <d v="2024-04-22T00:00:00"/>
    <s v="CUST110"/>
    <s v="South"/>
    <x v="3"/>
    <n v="4"/>
    <n v="1193"/>
    <x v="29"/>
  </r>
  <r>
    <s v="ORD00031"/>
    <d v="2024-09-09T00:00:00"/>
    <s v="CUST245"/>
    <s v="West"/>
    <x v="3"/>
    <n v="4"/>
    <n v="610"/>
    <x v="30"/>
  </r>
  <r>
    <s v="ORD00032"/>
    <d v="2023-01-19T00:00:00"/>
    <s v="CUST174"/>
    <s v="North"/>
    <x v="4"/>
    <n v="2"/>
    <n v="1085"/>
    <x v="31"/>
  </r>
  <r>
    <s v="ORD00033"/>
    <d v="2023-02-23T00:00:00"/>
    <s v="CUST003"/>
    <s v="West"/>
    <x v="4"/>
    <n v="1"/>
    <n v="289"/>
    <x v="32"/>
  </r>
  <r>
    <s v="ORD00034"/>
    <d v="2023-06-09T00:00:00"/>
    <s v="CUST024"/>
    <s v="South"/>
    <x v="1"/>
    <n v="1"/>
    <n v="956"/>
    <x v="33"/>
  </r>
  <r>
    <s v="ORD00035"/>
    <d v="2023-06-12T00:00:00"/>
    <s v="CUST102"/>
    <s v="South"/>
    <x v="0"/>
    <n v="3"/>
    <n v="1116"/>
    <x v="34"/>
  </r>
  <r>
    <s v="ORD00036"/>
    <d v="2024-01-07T00:00:00"/>
    <s v="CUST046"/>
    <s v="West"/>
    <x v="3"/>
    <n v="4"/>
    <n v="390"/>
    <x v="35"/>
  </r>
  <r>
    <s v="ORD00037"/>
    <d v="2024-05-23T00:00:00"/>
    <s v="CUST059"/>
    <s v="South"/>
    <x v="2"/>
    <n v="2"/>
    <n v="286"/>
    <x v="36"/>
  </r>
  <r>
    <s v="ORD00038"/>
    <d v="2023-12-11T00:00:00"/>
    <s v="CUST095"/>
    <s v="West"/>
    <x v="2"/>
    <n v="5"/>
    <n v="863"/>
    <x v="37"/>
  </r>
  <r>
    <s v="ORD00039"/>
    <d v="2024-06-21T00:00:00"/>
    <s v="CUST255"/>
    <s v="North"/>
    <x v="3"/>
    <n v="2"/>
    <n v="511"/>
    <x v="38"/>
  </r>
  <r>
    <s v="ORD00040"/>
    <d v="2023-11-12T00:00:00"/>
    <s v="CUST298"/>
    <s v="North"/>
    <x v="3"/>
    <n v="4"/>
    <n v="952"/>
    <x v="39"/>
  </r>
  <r>
    <s v="ORD00041"/>
    <d v="2023-09-14T00:00:00"/>
    <s v="CUST006"/>
    <s v="South"/>
    <x v="1"/>
    <n v="4"/>
    <n v="696"/>
    <x v="40"/>
  </r>
  <r>
    <s v="ORD00042"/>
    <d v="2023-07-14T00:00:00"/>
    <s v="CUST109"/>
    <s v="South"/>
    <x v="0"/>
    <n v="3"/>
    <n v="953"/>
    <x v="41"/>
  </r>
  <r>
    <s v="ORD00043"/>
    <d v="2023-11-19T00:00:00"/>
    <s v="CUST247"/>
    <s v="West"/>
    <x v="1"/>
    <n v="2"/>
    <n v="709"/>
    <x v="42"/>
  </r>
  <r>
    <s v="ORD00044"/>
    <d v="2023-11-23T00:00:00"/>
    <s v="CUST234"/>
    <s v="East"/>
    <x v="2"/>
    <n v="4"/>
    <n v="766"/>
    <x v="43"/>
  </r>
  <r>
    <s v="ORD00045"/>
    <d v="2023-09-24T00:00:00"/>
    <s v="CUST056"/>
    <s v="East"/>
    <x v="2"/>
    <n v="2"/>
    <n v="190"/>
    <x v="44"/>
  </r>
  <r>
    <s v="ORD00046"/>
    <d v="2023-08-08T00:00:00"/>
    <s v="CUST115"/>
    <s v="South"/>
    <x v="4"/>
    <n v="5"/>
    <n v="941"/>
    <x v="45"/>
  </r>
  <r>
    <s v="ORD00047"/>
    <d v="2023-09-24T00:00:00"/>
    <s v="CUST059"/>
    <s v="South"/>
    <x v="2"/>
    <n v="2"/>
    <n v="540"/>
    <x v="46"/>
  </r>
  <r>
    <s v="ORD00048"/>
    <d v="2023-06-14T00:00:00"/>
    <s v="CUST041"/>
    <s v="West"/>
    <x v="4"/>
    <n v="4"/>
    <n v="1071"/>
    <x v="47"/>
  </r>
  <r>
    <s v="ORD00049"/>
    <d v="2023-02-05T00:00:00"/>
    <s v="CUST136"/>
    <s v="North"/>
    <x v="1"/>
    <n v="5"/>
    <n v="999"/>
    <x v="48"/>
  </r>
  <r>
    <s v="ORD00050"/>
    <d v="2023-04-22T00:00:00"/>
    <s v="CUST259"/>
    <s v="North"/>
    <x v="0"/>
    <n v="2"/>
    <n v="1137"/>
    <x v="49"/>
  </r>
  <r>
    <s v="ORD00051"/>
    <d v="2023-10-20T00:00:00"/>
    <s v="CUST105"/>
    <s v="North"/>
    <x v="1"/>
    <n v="4"/>
    <n v="325"/>
    <x v="50"/>
  </r>
  <r>
    <s v="ORD00052"/>
    <d v="2024-06-27T00:00:00"/>
    <s v="CUST122"/>
    <s v="North"/>
    <x v="4"/>
    <n v="3"/>
    <n v="632"/>
    <x v="51"/>
  </r>
  <r>
    <s v="ORD00053"/>
    <d v="2023-05-16T00:00:00"/>
    <s v="CUST263"/>
    <s v="North"/>
    <x v="3"/>
    <n v="2"/>
    <n v="777"/>
    <x v="52"/>
  </r>
  <r>
    <s v="ORD00054"/>
    <d v="2023-12-31T00:00:00"/>
    <s v="CUST299"/>
    <s v="West"/>
    <x v="0"/>
    <n v="5"/>
    <n v="306"/>
    <x v="53"/>
  </r>
  <r>
    <s v="ORD00055"/>
    <d v="2024-05-08T00:00:00"/>
    <s v="CUST037"/>
    <s v="East"/>
    <x v="4"/>
    <n v="4"/>
    <n v="611"/>
    <x v="54"/>
  </r>
  <r>
    <s v="ORD00056"/>
    <d v="2024-07-21T00:00:00"/>
    <s v="CUST222"/>
    <s v="East"/>
    <x v="1"/>
    <n v="1"/>
    <n v="669"/>
    <x v="55"/>
  </r>
  <r>
    <s v="ORD00057"/>
    <d v="2024-11-18T00:00:00"/>
    <s v="CUST044"/>
    <s v="West"/>
    <x v="0"/>
    <n v="5"/>
    <n v="1030"/>
    <x v="56"/>
  </r>
  <r>
    <s v="ORD00058"/>
    <d v="2023-08-01T00:00:00"/>
    <s v="CUST128"/>
    <s v="North"/>
    <x v="4"/>
    <n v="4"/>
    <n v="1053"/>
    <x v="57"/>
  </r>
  <r>
    <s v="ORD00059"/>
    <d v="2023-04-06T00:00:00"/>
    <s v="CUST261"/>
    <s v="North"/>
    <x v="4"/>
    <n v="2"/>
    <n v="373"/>
    <x v="58"/>
  </r>
  <r>
    <s v="ORD00060"/>
    <d v="2024-07-21T00:00:00"/>
    <s v="CUST280"/>
    <s v="West"/>
    <x v="4"/>
    <n v="5"/>
    <n v="310"/>
    <x v="59"/>
  </r>
  <r>
    <s v="ORD00061"/>
    <d v="2024-10-26T00:00:00"/>
    <s v="CUST189"/>
    <s v="West"/>
    <x v="1"/>
    <n v="5"/>
    <n v="362"/>
    <x v="60"/>
  </r>
  <r>
    <s v="ORD00062"/>
    <d v="2023-08-30T00:00:00"/>
    <s v="CUST282"/>
    <s v="South"/>
    <x v="1"/>
    <n v="1"/>
    <n v="124"/>
    <x v="61"/>
  </r>
  <r>
    <s v="ORD00063"/>
    <d v="2024-03-26T00:00:00"/>
    <s v="CUST010"/>
    <s v="West"/>
    <x v="0"/>
    <n v="4"/>
    <n v="569"/>
    <x v="62"/>
  </r>
  <r>
    <s v="ORD00064"/>
    <d v="2024-04-05T00:00:00"/>
    <s v="CUST004"/>
    <s v="North"/>
    <x v="1"/>
    <n v="3"/>
    <n v="775"/>
    <x v="63"/>
  </r>
  <r>
    <s v="ORD00065"/>
    <d v="2023-03-14T00:00:00"/>
    <s v="CUST163"/>
    <s v="West"/>
    <x v="0"/>
    <n v="5"/>
    <n v="817"/>
    <x v="64"/>
  </r>
  <r>
    <s v="ORD00066"/>
    <d v="2023-10-25T00:00:00"/>
    <s v="CUST028"/>
    <s v="South"/>
    <x v="2"/>
    <n v="2"/>
    <n v="922"/>
    <x v="65"/>
  </r>
  <r>
    <s v="ORD00067"/>
    <d v="2024-05-05T00:00:00"/>
    <s v="CUST008"/>
    <s v="West"/>
    <x v="2"/>
    <n v="4"/>
    <n v="309"/>
    <x v="66"/>
  </r>
  <r>
    <s v="ORD00068"/>
    <d v="2024-03-28T00:00:00"/>
    <s v="CUST190"/>
    <s v="East"/>
    <x v="1"/>
    <n v="1"/>
    <n v="579"/>
    <x v="67"/>
  </r>
  <r>
    <s v="ORD00069"/>
    <d v="2024-02-24T00:00:00"/>
    <s v="CUST239"/>
    <s v="South"/>
    <x v="0"/>
    <n v="3"/>
    <n v="276"/>
    <x v="68"/>
  </r>
  <r>
    <s v="ORD00070"/>
    <d v="2023-07-25T00:00:00"/>
    <s v="CUST099"/>
    <s v="South"/>
    <x v="1"/>
    <n v="5"/>
    <n v="860"/>
    <x v="69"/>
  </r>
  <r>
    <s v="ORD00071"/>
    <d v="2024-11-20T00:00:00"/>
    <s v="CUST093"/>
    <s v="North"/>
    <x v="0"/>
    <n v="5"/>
    <n v="1108"/>
    <x v="70"/>
  </r>
  <r>
    <s v="ORD00072"/>
    <d v="2024-08-17T00:00:00"/>
    <s v="CUST236"/>
    <s v="East"/>
    <x v="4"/>
    <n v="2"/>
    <n v="113"/>
    <x v="71"/>
  </r>
  <r>
    <s v="ORD00073"/>
    <d v="2023-11-08T00:00:00"/>
    <s v="CUST203"/>
    <s v="West"/>
    <x v="4"/>
    <n v="2"/>
    <n v="966"/>
    <x v="72"/>
  </r>
  <r>
    <s v="ORD00074"/>
    <d v="2023-02-03T00:00:00"/>
    <s v="CUST115"/>
    <s v="West"/>
    <x v="3"/>
    <n v="3"/>
    <n v="832"/>
    <x v="73"/>
  </r>
  <r>
    <s v="ORD00075"/>
    <d v="2024-03-10T00:00:00"/>
    <s v="CUST290"/>
    <s v="West"/>
    <x v="3"/>
    <n v="2"/>
    <n v="358"/>
    <x v="74"/>
  </r>
  <r>
    <s v="ORD00076"/>
    <d v="2024-02-21T00:00:00"/>
    <s v="CUST195"/>
    <s v="South"/>
    <x v="2"/>
    <n v="2"/>
    <n v="261"/>
    <x v="75"/>
  </r>
  <r>
    <s v="ORD00077"/>
    <d v="2024-10-05T00:00:00"/>
    <s v="CUST018"/>
    <s v="West"/>
    <x v="0"/>
    <n v="1"/>
    <n v="904"/>
    <x v="76"/>
  </r>
  <r>
    <s v="ORD00078"/>
    <d v="2023-02-14T00:00:00"/>
    <s v="CUST287"/>
    <s v="North"/>
    <x v="1"/>
    <n v="1"/>
    <n v="449"/>
    <x v="77"/>
  </r>
  <r>
    <s v="ORD00079"/>
    <d v="2024-01-09T00:00:00"/>
    <s v="CUST093"/>
    <s v="South"/>
    <x v="0"/>
    <n v="5"/>
    <n v="127"/>
    <x v="78"/>
  </r>
  <r>
    <s v="ORD00080"/>
    <d v="2024-05-31T00:00:00"/>
    <s v="CUST252"/>
    <s v="North"/>
    <x v="3"/>
    <n v="4"/>
    <n v="1065"/>
    <x v="79"/>
  </r>
  <r>
    <s v="ORD00081"/>
    <d v="2023-06-08T00:00:00"/>
    <s v="CUST001"/>
    <s v="West"/>
    <x v="3"/>
    <n v="1"/>
    <n v="527"/>
    <x v="80"/>
  </r>
  <r>
    <s v="ORD00082"/>
    <d v="2024-09-26T00:00:00"/>
    <s v="CUST073"/>
    <s v="North"/>
    <x v="1"/>
    <n v="5"/>
    <n v="542"/>
    <x v="81"/>
  </r>
  <r>
    <s v="ORD00083"/>
    <d v="2023-04-16T00:00:00"/>
    <s v="CUST192"/>
    <s v="West"/>
    <x v="2"/>
    <n v="5"/>
    <n v="406"/>
    <x v="82"/>
  </r>
  <r>
    <s v="ORD00084"/>
    <d v="2023-10-27T00:00:00"/>
    <s v="CUST075"/>
    <s v="North"/>
    <x v="3"/>
    <n v="3"/>
    <n v="935"/>
    <x v="83"/>
  </r>
  <r>
    <s v="ORD00085"/>
    <d v="2023-10-13T00:00:00"/>
    <s v="CUST030"/>
    <s v="South"/>
    <x v="3"/>
    <n v="4"/>
    <n v="366"/>
    <x v="84"/>
  </r>
  <r>
    <s v="ORD00086"/>
    <d v="2024-05-24T00:00:00"/>
    <s v="CUST164"/>
    <s v="South"/>
    <x v="3"/>
    <n v="1"/>
    <n v="380"/>
    <x v="44"/>
  </r>
  <r>
    <s v="ORD00087"/>
    <d v="2023-03-29T00:00:00"/>
    <s v="CUST198"/>
    <s v="South"/>
    <x v="1"/>
    <n v="2"/>
    <n v="717"/>
    <x v="85"/>
  </r>
  <r>
    <s v="ORD00088"/>
    <d v="2024-03-19T00:00:00"/>
    <s v="CUST038"/>
    <s v="West"/>
    <x v="3"/>
    <n v="5"/>
    <n v="314"/>
    <x v="86"/>
  </r>
  <r>
    <s v="ORD00089"/>
    <d v="2024-08-25T00:00:00"/>
    <s v="CUST300"/>
    <s v="West"/>
    <x v="0"/>
    <n v="5"/>
    <n v="654"/>
    <x v="87"/>
  </r>
  <r>
    <s v="ORD00090"/>
    <d v="2023-02-27T00:00:00"/>
    <s v="CUST090"/>
    <s v="North"/>
    <x v="3"/>
    <n v="4"/>
    <n v="593"/>
    <x v="88"/>
  </r>
  <r>
    <s v="ORD00091"/>
    <d v="2023-06-01T00:00:00"/>
    <s v="CUST294"/>
    <s v="East"/>
    <x v="1"/>
    <n v="2"/>
    <n v="937"/>
    <x v="89"/>
  </r>
  <r>
    <s v="ORD00092"/>
    <d v="2024-07-03T00:00:00"/>
    <s v="CUST164"/>
    <s v="East"/>
    <x v="3"/>
    <n v="4"/>
    <n v="186"/>
    <x v="90"/>
  </r>
  <r>
    <s v="ORD00093"/>
    <d v="2023-04-18T00:00:00"/>
    <s v="CUST211"/>
    <s v="South"/>
    <x v="4"/>
    <n v="3"/>
    <n v="415"/>
    <x v="91"/>
  </r>
  <r>
    <s v="ORD00094"/>
    <d v="2023-02-23T00:00:00"/>
    <s v="CUST290"/>
    <s v="East"/>
    <x v="1"/>
    <n v="5"/>
    <n v="373"/>
    <x v="92"/>
  </r>
  <r>
    <s v="ORD00095"/>
    <d v="2024-10-15T00:00:00"/>
    <s v="CUST267"/>
    <s v="South"/>
    <x v="3"/>
    <n v="3"/>
    <n v="645"/>
    <x v="93"/>
  </r>
  <r>
    <s v="ORD00096"/>
    <d v="2023-02-27T00:00:00"/>
    <s v="CUST034"/>
    <s v="East"/>
    <x v="4"/>
    <n v="3"/>
    <n v="1080"/>
    <x v="94"/>
  </r>
  <r>
    <s v="ORD00097"/>
    <d v="2024-05-11T00:00:00"/>
    <s v="CUST248"/>
    <s v="South"/>
    <x v="4"/>
    <n v="2"/>
    <n v="248"/>
    <x v="95"/>
  </r>
  <r>
    <s v="ORD00098"/>
    <d v="2023-10-26T00:00:00"/>
    <s v="CUST300"/>
    <s v="East"/>
    <x v="0"/>
    <n v="2"/>
    <n v="240"/>
    <x v="96"/>
  </r>
  <r>
    <s v="ORD00099"/>
    <d v="2023-10-29T00:00:00"/>
    <s v="CUST173"/>
    <s v="North"/>
    <x v="1"/>
    <n v="3"/>
    <n v="188"/>
    <x v="97"/>
  </r>
  <r>
    <s v="ORD00100"/>
    <d v="2024-06-18T00:00:00"/>
    <s v="CUST174"/>
    <s v="West"/>
    <x v="0"/>
    <n v="2"/>
    <n v="1130"/>
    <x v="98"/>
  </r>
  <r>
    <s v="ORD00101"/>
    <d v="2023-07-21T00:00:00"/>
    <s v="CUST007"/>
    <s v="West"/>
    <x v="2"/>
    <n v="3"/>
    <n v="374"/>
    <x v="99"/>
  </r>
  <r>
    <s v="ORD00102"/>
    <d v="2023-05-25T00:00:00"/>
    <s v="CUST090"/>
    <s v="South"/>
    <x v="2"/>
    <n v="2"/>
    <n v="1147"/>
    <x v="100"/>
  </r>
  <r>
    <s v="ORD00103"/>
    <d v="2024-07-31T00:00:00"/>
    <s v="CUST116"/>
    <s v="South"/>
    <x v="3"/>
    <n v="1"/>
    <n v="541"/>
    <x v="101"/>
  </r>
  <r>
    <s v="ORD00104"/>
    <d v="2023-06-29T00:00:00"/>
    <s v="CUST089"/>
    <s v="East"/>
    <x v="4"/>
    <n v="5"/>
    <n v="892"/>
    <x v="102"/>
  </r>
  <r>
    <s v="ORD00105"/>
    <d v="2024-05-07T00:00:00"/>
    <s v="CUST236"/>
    <s v="West"/>
    <x v="2"/>
    <n v="1"/>
    <n v="1162"/>
    <x v="103"/>
  </r>
  <r>
    <s v="ORD00106"/>
    <d v="2024-03-29T00:00:00"/>
    <s v="CUST157"/>
    <s v="West"/>
    <x v="3"/>
    <n v="1"/>
    <n v="859"/>
    <x v="104"/>
  </r>
  <r>
    <s v="ORD00107"/>
    <d v="2023-04-07T00:00:00"/>
    <s v="CUST100"/>
    <s v="East"/>
    <x v="4"/>
    <n v="4"/>
    <n v="301"/>
    <x v="105"/>
  </r>
  <r>
    <s v="ORD00108"/>
    <d v="2023-10-13T00:00:00"/>
    <s v="CUST163"/>
    <s v="East"/>
    <x v="3"/>
    <n v="5"/>
    <n v="544"/>
    <x v="106"/>
  </r>
  <r>
    <s v="ORD00109"/>
    <d v="2023-05-05T00:00:00"/>
    <s v="CUST023"/>
    <s v="South"/>
    <x v="2"/>
    <n v="2"/>
    <n v="1135"/>
    <x v="107"/>
  </r>
  <r>
    <s v="ORD00110"/>
    <d v="2024-07-08T00:00:00"/>
    <s v="CUST067"/>
    <s v="North"/>
    <x v="3"/>
    <n v="3"/>
    <n v="114"/>
    <x v="108"/>
  </r>
  <r>
    <s v="ORD00111"/>
    <d v="2023-09-23T00:00:00"/>
    <s v="CUST055"/>
    <s v="South"/>
    <x v="3"/>
    <n v="1"/>
    <n v="1030"/>
    <x v="109"/>
  </r>
  <r>
    <s v="ORD00112"/>
    <d v="2023-05-18T00:00:00"/>
    <s v="CUST023"/>
    <s v="East"/>
    <x v="4"/>
    <n v="2"/>
    <n v="1104"/>
    <x v="110"/>
  </r>
  <r>
    <s v="ORD00113"/>
    <d v="2024-07-30T00:00:00"/>
    <s v="CUST144"/>
    <s v="South"/>
    <x v="2"/>
    <n v="1"/>
    <n v="777"/>
    <x v="111"/>
  </r>
  <r>
    <s v="ORD00114"/>
    <d v="2023-06-11T00:00:00"/>
    <s v="CUST246"/>
    <s v="South"/>
    <x v="3"/>
    <n v="4"/>
    <n v="929"/>
    <x v="112"/>
  </r>
  <r>
    <s v="ORD00115"/>
    <d v="2023-11-02T00:00:00"/>
    <s v="CUST170"/>
    <s v="West"/>
    <x v="4"/>
    <n v="3"/>
    <n v="274"/>
    <x v="113"/>
  </r>
  <r>
    <s v="ORD00116"/>
    <d v="2024-11-27T00:00:00"/>
    <s v="CUST068"/>
    <s v="East"/>
    <x v="4"/>
    <n v="2"/>
    <n v="941"/>
    <x v="114"/>
  </r>
  <r>
    <s v="ORD00117"/>
    <d v="2023-10-11T00:00:00"/>
    <s v="CUST172"/>
    <s v="West"/>
    <x v="1"/>
    <n v="2"/>
    <n v="284"/>
    <x v="115"/>
  </r>
  <r>
    <s v="ORD00118"/>
    <d v="2024-02-23T00:00:00"/>
    <s v="CUST273"/>
    <s v="North"/>
    <x v="3"/>
    <n v="2"/>
    <n v="647"/>
    <x v="116"/>
  </r>
  <r>
    <s v="ORD00119"/>
    <d v="2024-02-14T00:00:00"/>
    <s v="CUST176"/>
    <s v="East"/>
    <x v="2"/>
    <n v="1"/>
    <n v="421"/>
    <x v="117"/>
  </r>
  <r>
    <s v="ORD00120"/>
    <d v="2024-05-17T00:00:00"/>
    <s v="CUST126"/>
    <s v="West"/>
    <x v="2"/>
    <n v="2"/>
    <n v="348"/>
    <x v="118"/>
  </r>
  <r>
    <s v="ORD00121"/>
    <d v="2023-10-03T00:00:00"/>
    <s v="CUST115"/>
    <s v="East"/>
    <x v="0"/>
    <n v="2"/>
    <n v="558"/>
    <x v="119"/>
  </r>
  <r>
    <s v="ORD00122"/>
    <d v="2024-09-29T00:00:00"/>
    <s v="CUST136"/>
    <s v="South"/>
    <x v="4"/>
    <n v="1"/>
    <n v="622"/>
    <x v="120"/>
  </r>
  <r>
    <s v="ORD00123"/>
    <d v="2023-01-10T00:00:00"/>
    <s v="CUST269"/>
    <s v="South"/>
    <x v="3"/>
    <n v="3"/>
    <n v="173"/>
    <x v="121"/>
  </r>
  <r>
    <s v="ORD00124"/>
    <d v="2024-01-09T00:00:00"/>
    <s v="CUST115"/>
    <s v="North"/>
    <x v="4"/>
    <n v="4"/>
    <n v="432"/>
    <x v="122"/>
  </r>
  <r>
    <s v="ORD00125"/>
    <d v="2023-06-06T00:00:00"/>
    <s v="CUST155"/>
    <s v="West"/>
    <x v="0"/>
    <n v="3"/>
    <n v="201"/>
    <x v="123"/>
  </r>
  <r>
    <s v="ORD00126"/>
    <d v="2024-02-14T00:00:00"/>
    <s v="CUST168"/>
    <s v="West"/>
    <x v="2"/>
    <n v="3"/>
    <n v="362"/>
    <x v="124"/>
  </r>
  <r>
    <s v="ORD00127"/>
    <d v="2023-09-25T00:00:00"/>
    <s v="CUST115"/>
    <s v="West"/>
    <x v="3"/>
    <n v="2"/>
    <n v="663"/>
    <x v="125"/>
  </r>
  <r>
    <s v="ORD00128"/>
    <d v="2023-04-12T00:00:00"/>
    <s v="CUST261"/>
    <s v="South"/>
    <x v="4"/>
    <n v="4"/>
    <n v="145"/>
    <x v="126"/>
  </r>
  <r>
    <s v="ORD00129"/>
    <d v="2023-10-28T00:00:00"/>
    <s v="CUST288"/>
    <s v="South"/>
    <x v="0"/>
    <n v="2"/>
    <n v="295"/>
    <x v="127"/>
  </r>
  <r>
    <s v="ORD00130"/>
    <d v="2023-12-14T00:00:00"/>
    <s v="CUST191"/>
    <s v="West"/>
    <x v="4"/>
    <n v="1"/>
    <n v="584"/>
    <x v="128"/>
  </r>
  <r>
    <s v="ORD00131"/>
    <d v="2023-11-05T00:00:00"/>
    <s v="CUST151"/>
    <s v="South"/>
    <x v="3"/>
    <n v="4"/>
    <n v="678"/>
    <x v="129"/>
  </r>
  <r>
    <s v="ORD00132"/>
    <d v="2023-07-23T00:00:00"/>
    <s v="CUST140"/>
    <s v="East"/>
    <x v="3"/>
    <n v="5"/>
    <n v="208"/>
    <x v="130"/>
  </r>
  <r>
    <s v="ORD00133"/>
    <d v="2023-11-21T00:00:00"/>
    <s v="CUST001"/>
    <s v="North"/>
    <x v="2"/>
    <n v="4"/>
    <n v="777"/>
    <x v="131"/>
  </r>
  <r>
    <s v="ORD00134"/>
    <d v="2024-07-14T00:00:00"/>
    <s v="CUST167"/>
    <s v="West"/>
    <x v="3"/>
    <n v="1"/>
    <n v="110"/>
    <x v="132"/>
  </r>
  <r>
    <s v="ORD00135"/>
    <d v="2023-11-10T00:00:00"/>
    <s v="CUST153"/>
    <s v="West"/>
    <x v="0"/>
    <n v="2"/>
    <n v="597"/>
    <x v="133"/>
  </r>
  <r>
    <s v="ORD00136"/>
    <d v="2023-12-13T00:00:00"/>
    <s v="CUST236"/>
    <s v="North"/>
    <x v="1"/>
    <n v="5"/>
    <n v="328"/>
    <x v="134"/>
  </r>
  <r>
    <s v="ORD00137"/>
    <d v="2024-11-22T00:00:00"/>
    <s v="CUST125"/>
    <s v="West"/>
    <x v="0"/>
    <n v="2"/>
    <n v="990"/>
    <x v="135"/>
  </r>
  <r>
    <s v="ORD00138"/>
    <d v="2023-01-02T00:00:00"/>
    <s v="CUST221"/>
    <s v="South"/>
    <x v="1"/>
    <n v="1"/>
    <n v="1106"/>
    <x v="136"/>
  </r>
  <r>
    <s v="ORD00139"/>
    <d v="2023-03-04T00:00:00"/>
    <s v="CUST161"/>
    <s v="South"/>
    <x v="2"/>
    <n v="2"/>
    <n v="122"/>
    <x v="137"/>
  </r>
  <r>
    <s v="ORD00140"/>
    <d v="2023-12-16T00:00:00"/>
    <s v="CUST033"/>
    <s v="North"/>
    <x v="2"/>
    <n v="5"/>
    <n v="825"/>
    <x v="138"/>
  </r>
  <r>
    <s v="ORD00141"/>
    <d v="2023-09-14T00:00:00"/>
    <s v="CUST298"/>
    <s v="West"/>
    <x v="4"/>
    <n v="2"/>
    <n v="1199"/>
    <x v="139"/>
  </r>
  <r>
    <s v="ORD00142"/>
    <d v="2024-05-10T00:00:00"/>
    <s v="CUST282"/>
    <s v="East"/>
    <x v="4"/>
    <n v="3"/>
    <n v="1007"/>
    <x v="140"/>
  </r>
  <r>
    <s v="ORD00143"/>
    <d v="2023-03-06T00:00:00"/>
    <s v="CUST145"/>
    <s v="West"/>
    <x v="0"/>
    <n v="1"/>
    <n v="652"/>
    <x v="141"/>
  </r>
  <r>
    <s v="ORD00144"/>
    <d v="2023-06-07T00:00:00"/>
    <s v="CUST035"/>
    <s v="North"/>
    <x v="1"/>
    <n v="1"/>
    <n v="792"/>
    <x v="142"/>
  </r>
  <r>
    <s v="ORD00145"/>
    <d v="2023-11-19T00:00:00"/>
    <s v="CUST105"/>
    <s v="West"/>
    <x v="2"/>
    <n v="2"/>
    <n v="658"/>
    <x v="143"/>
  </r>
  <r>
    <s v="ORD00146"/>
    <d v="2024-03-09T00:00:00"/>
    <s v="CUST267"/>
    <s v="East"/>
    <x v="0"/>
    <n v="2"/>
    <n v="858"/>
    <x v="144"/>
  </r>
  <r>
    <s v="ORD00147"/>
    <d v="2023-08-02T00:00:00"/>
    <s v="CUST086"/>
    <s v="South"/>
    <x v="4"/>
    <n v="3"/>
    <n v="253"/>
    <x v="145"/>
  </r>
  <r>
    <s v="ORD00148"/>
    <d v="2024-09-02T00:00:00"/>
    <s v="CUST016"/>
    <s v="North"/>
    <x v="2"/>
    <n v="4"/>
    <n v="306"/>
    <x v="146"/>
  </r>
  <r>
    <s v="ORD00149"/>
    <d v="2023-04-22T00:00:00"/>
    <s v="CUST092"/>
    <s v="East"/>
    <x v="0"/>
    <n v="5"/>
    <n v="1183"/>
    <x v="147"/>
  </r>
  <r>
    <s v="ORD00150"/>
    <d v="2024-11-18T00:00:00"/>
    <s v="CUST028"/>
    <s v="West"/>
    <x v="4"/>
    <n v="3"/>
    <n v="1133"/>
    <x v="148"/>
  </r>
  <r>
    <s v="ORD00151"/>
    <d v="2024-08-06T00:00:00"/>
    <s v="CUST158"/>
    <s v="North"/>
    <x v="1"/>
    <n v="4"/>
    <n v="741"/>
    <x v="149"/>
  </r>
  <r>
    <s v="ORD00152"/>
    <d v="2024-07-07T00:00:00"/>
    <s v="CUST125"/>
    <s v="West"/>
    <x v="4"/>
    <n v="4"/>
    <n v="780"/>
    <x v="150"/>
  </r>
  <r>
    <s v="ORD00153"/>
    <d v="2024-08-24T00:00:00"/>
    <s v="CUST022"/>
    <s v="West"/>
    <x v="4"/>
    <n v="3"/>
    <n v="525"/>
    <x v="22"/>
  </r>
  <r>
    <s v="ORD00154"/>
    <d v="2023-11-12T00:00:00"/>
    <s v="CUST096"/>
    <s v="West"/>
    <x v="2"/>
    <n v="4"/>
    <n v="876"/>
    <x v="151"/>
  </r>
  <r>
    <s v="ORD00155"/>
    <d v="2024-06-29T00:00:00"/>
    <s v="CUST167"/>
    <s v="West"/>
    <x v="1"/>
    <n v="5"/>
    <n v="321"/>
    <x v="152"/>
  </r>
  <r>
    <s v="ORD00156"/>
    <d v="2024-06-20T00:00:00"/>
    <s v="CUST059"/>
    <s v="East"/>
    <x v="0"/>
    <n v="4"/>
    <n v="180"/>
    <x v="153"/>
  </r>
  <r>
    <s v="ORD00157"/>
    <d v="2023-11-05T00:00:00"/>
    <s v="CUST048"/>
    <s v="West"/>
    <x v="0"/>
    <n v="4"/>
    <n v="1127"/>
    <x v="154"/>
  </r>
  <r>
    <s v="ORD00158"/>
    <d v="2024-07-15T00:00:00"/>
    <s v="CUST012"/>
    <s v="East"/>
    <x v="0"/>
    <n v="5"/>
    <n v="404"/>
    <x v="155"/>
  </r>
  <r>
    <s v="ORD00159"/>
    <d v="2024-09-28T00:00:00"/>
    <s v="CUST139"/>
    <s v="East"/>
    <x v="2"/>
    <n v="4"/>
    <n v="692"/>
    <x v="156"/>
  </r>
  <r>
    <s v="ORD00160"/>
    <d v="2023-07-23T00:00:00"/>
    <s v="CUST229"/>
    <s v="East"/>
    <x v="2"/>
    <n v="5"/>
    <n v="758"/>
    <x v="157"/>
  </r>
  <r>
    <s v="ORD00161"/>
    <d v="2024-03-10T00:00:00"/>
    <s v="CUST027"/>
    <s v="East"/>
    <x v="2"/>
    <n v="2"/>
    <n v="1189"/>
    <x v="158"/>
  </r>
  <r>
    <s v="ORD00162"/>
    <d v="2024-02-23T00:00:00"/>
    <s v="CUST195"/>
    <s v="North"/>
    <x v="0"/>
    <n v="4"/>
    <n v="791"/>
    <x v="27"/>
  </r>
  <r>
    <s v="ORD00163"/>
    <d v="2024-04-21T00:00:00"/>
    <s v="CUST054"/>
    <s v="North"/>
    <x v="4"/>
    <n v="2"/>
    <n v="808"/>
    <x v="159"/>
  </r>
  <r>
    <s v="ORD00164"/>
    <d v="2024-05-13T00:00:00"/>
    <s v="CUST003"/>
    <s v="West"/>
    <x v="3"/>
    <n v="1"/>
    <n v="365"/>
    <x v="160"/>
  </r>
  <r>
    <s v="ORD00165"/>
    <d v="2024-05-15T00:00:00"/>
    <s v="CUST105"/>
    <s v="North"/>
    <x v="3"/>
    <n v="4"/>
    <n v="785"/>
    <x v="161"/>
  </r>
  <r>
    <s v="ORD00166"/>
    <d v="2023-03-11T00:00:00"/>
    <s v="CUST250"/>
    <s v="East"/>
    <x v="1"/>
    <n v="3"/>
    <n v="710"/>
    <x v="162"/>
  </r>
  <r>
    <s v="ORD00167"/>
    <d v="2023-02-18T00:00:00"/>
    <s v="CUST071"/>
    <s v="North"/>
    <x v="1"/>
    <n v="4"/>
    <n v="1123"/>
    <x v="163"/>
  </r>
  <r>
    <s v="ORD00168"/>
    <d v="2024-04-07T00:00:00"/>
    <s v="CUST109"/>
    <s v="South"/>
    <x v="0"/>
    <n v="5"/>
    <n v="492"/>
    <x v="164"/>
  </r>
  <r>
    <s v="ORD00169"/>
    <d v="2024-05-14T00:00:00"/>
    <s v="CUST012"/>
    <s v="South"/>
    <x v="3"/>
    <n v="2"/>
    <n v="196"/>
    <x v="165"/>
  </r>
  <r>
    <s v="ORD00170"/>
    <d v="2023-12-03T00:00:00"/>
    <s v="CUST022"/>
    <s v="South"/>
    <x v="2"/>
    <n v="5"/>
    <n v="467"/>
    <x v="166"/>
  </r>
  <r>
    <s v="ORD00171"/>
    <d v="2024-04-20T00:00:00"/>
    <s v="CUST194"/>
    <s v="North"/>
    <x v="4"/>
    <n v="3"/>
    <n v="822"/>
    <x v="167"/>
  </r>
  <r>
    <s v="ORD00172"/>
    <d v="2024-07-22T00:00:00"/>
    <s v="CUST283"/>
    <s v="West"/>
    <x v="1"/>
    <n v="3"/>
    <n v="1118"/>
    <x v="168"/>
  </r>
  <r>
    <s v="ORD00173"/>
    <d v="2023-04-19T00:00:00"/>
    <s v="CUST187"/>
    <s v="West"/>
    <x v="2"/>
    <n v="3"/>
    <n v="1054"/>
    <x v="169"/>
  </r>
  <r>
    <s v="ORD00174"/>
    <d v="2024-06-12T00:00:00"/>
    <s v="CUST212"/>
    <s v="East"/>
    <x v="4"/>
    <n v="1"/>
    <n v="1080"/>
    <x v="46"/>
  </r>
  <r>
    <s v="ORD00175"/>
    <d v="2024-01-02T00:00:00"/>
    <s v="CUST225"/>
    <s v="North"/>
    <x v="2"/>
    <n v="1"/>
    <n v="873"/>
    <x v="170"/>
  </r>
  <r>
    <s v="ORD00176"/>
    <d v="2024-02-11T00:00:00"/>
    <s v="CUST291"/>
    <s v="North"/>
    <x v="1"/>
    <n v="1"/>
    <n v="548"/>
    <x v="171"/>
  </r>
  <r>
    <s v="ORD00177"/>
    <d v="2023-01-03T00:00:00"/>
    <s v="CUST142"/>
    <s v="West"/>
    <x v="4"/>
    <n v="4"/>
    <n v="981"/>
    <x v="172"/>
  </r>
  <r>
    <s v="ORD00178"/>
    <d v="2023-03-07T00:00:00"/>
    <s v="CUST085"/>
    <s v="West"/>
    <x v="3"/>
    <n v="2"/>
    <n v="822"/>
    <x v="173"/>
  </r>
  <r>
    <s v="ORD00179"/>
    <d v="2024-03-03T00:00:00"/>
    <s v="CUST253"/>
    <s v="East"/>
    <x v="3"/>
    <n v="4"/>
    <n v="959"/>
    <x v="174"/>
  </r>
  <r>
    <s v="ORD00180"/>
    <d v="2023-12-05T00:00:00"/>
    <s v="CUST120"/>
    <s v="East"/>
    <x v="2"/>
    <n v="5"/>
    <n v="233"/>
    <x v="175"/>
  </r>
  <r>
    <s v="ORD00181"/>
    <d v="2024-07-28T00:00:00"/>
    <s v="CUST027"/>
    <s v="South"/>
    <x v="3"/>
    <n v="5"/>
    <n v="1128"/>
    <x v="176"/>
  </r>
  <r>
    <s v="ORD00182"/>
    <d v="2023-11-11T00:00:00"/>
    <s v="CUST155"/>
    <s v="East"/>
    <x v="0"/>
    <n v="5"/>
    <n v="530"/>
    <x v="177"/>
  </r>
  <r>
    <s v="ORD00183"/>
    <d v="2024-09-02T00:00:00"/>
    <s v="CUST027"/>
    <s v="East"/>
    <x v="3"/>
    <n v="4"/>
    <n v="909"/>
    <x v="178"/>
  </r>
  <r>
    <s v="ORD00184"/>
    <d v="2024-03-07T00:00:00"/>
    <s v="CUST118"/>
    <s v="East"/>
    <x v="0"/>
    <n v="5"/>
    <n v="963"/>
    <x v="179"/>
  </r>
  <r>
    <s v="ORD00185"/>
    <d v="2023-02-03T00:00:00"/>
    <s v="CUST279"/>
    <s v="North"/>
    <x v="3"/>
    <n v="4"/>
    <n v="1052"/>
    <x v="180"/>
  </r>
  <r>
    <s v="ORD00186"/>
    <d v="2023-12-27T00:00:00"/>
    <s v="CUST012"/>
    <s v="West"/>
    <x v="0"/>
    <n v="2"/>
    <n v="832"/>
    <x v="181"/>
  </r>
  <r>
    <s v="ORD00187"/>
    <d v="2023-01-04T00:00:00"/>
    <s v="CUST240"/>
    <s v="West"/>
    <x v="3"/>
    <n v="5"/>
    <n v="855"/>
    <x v="182"/>
  </r>
  <r>
    <s v="ORD00188"/>
    <d v="2023-11-23T00:00:00"/>
    <s v="CUST200"/>
    <s v="West"/>
    <x v="1"/>
    <n v="1"/>
    <n v="794"/>
    <x v="183"/>
  </r>
  <r>
    <s v="ORD00189"/>
    <d v="2023-09-19T00:00:00"/>
    <s v="CUST134"/>
    <s v="South"/>
    <x v="4"/>
    <n v="2"/>
    <n v="634"/>
    <x v="184"/>
  </r>
  <r>
    <s v="ORD00190"/>
    <d v="2024-07-07T00:00:00"/>
    <s v="CUST013"/>
    <s v="North"/>
    <x v="0"/>
    <n v="1"/>
    <n v="406"/>
    <x v="185"/>
  </r>
  <r>
    <s v="ORD00191"/>
    <d v="2023-08-18T00:00:00"/>
    <s v="CUST087"/>
    <s v="West"/>
    <x v="4"/>
    <n v="3"/>
    <n v="846"/>
    <x v="186"/>
  </r>
  <r>
    <s v="ORD00192"/>
    <d v="2024-08-18T00:00:00"/>
    <s v="CUST039"/>
    <s v="South"/>
    <x v="1"/>
    <n v="5"/>
    <n v="1190"/>
    <x v="187"/>
  </r>
  <r>
    <s v="ORD00193"/>
    <d v="2023-08-02T00:00:00"/>
    <s v="CUST238"/>
    <s v="South"/>
    <x v="1"/>
    <n v="1"/>
    <n v="336"/>
    <x v="188"/>
  </r>
  <r>
    <s v="ORD00194"/>
    <d v="2024-06-11T00:00:00"/>
    <s v="CUST254"/>
    <s v="West"/>
    <x v="3"/>
    <n v="2"/>
    <n v="1068"/>
    <x v="189"/>
  </r>
  <r>
    <s v="ORD00195"/>
    <d v="2024-02-21T00:00:00"/>
    <s v="CUST183"/>
    <s v="South"/>
    <x v="3"/>
    <n v="4"/>
    <n v="893"/>
    <x v="190"/>
  </r>
  <r>
    <s v="ORD00196"/>
    <d v="2024-05-28T00:00:00"/>
    <s v="CUST142"/>
    <s v="North"/>
    <x v="0"/>
    <n v="5"/>
    <n v="1087"/>
    <x v="191"/>
  </r>
  <r>
    <s v="ORD00197"/>
    <d v="2023-04-16T00:00:00"/>
    <s v="CUST036"/>
    <s v="North"/>
    <x v="1"/>
    <n v="3"/>
    <n v="1068"/>
    <x v="192"/>
  </r>
  <r>
    <s v="ORD00198"/>
    <d v="2023-04-25T00:00:00"/>
    <s v="CUST270"/>
    <s v="East"/>
    <x v="2"/>
    <n v="4"/>
    <n v="1086"/>
    <x v="193"/>
  </r>
  <r>
    <s v="ORD00199"/>
    <d v="2024-06-17T00:00:00"/>
    <s v="CUST274"/>
    <s v="South"/>
    <x v="1"/>
    <n v="1"/>
    <n v="162"/>
    <x v="194"/>
  </r>
  <r>
    <s v="ORD00200"/>
    <d v="2023-10-03T00:00:00"/>
    <s v="CUST057"/>
    <s v="East"/>
    <x v="3"/>
    <n v="1"/>
    <n v="263"/>
    <x v="195"/>
  </r>
  <r>
    <s v="ORD00201"/>
    <d v="2023-10-04T00:00:00"/>
    <s v="CUST219"/>
    <s v="East"/>
    <x v="4"/>
    <n v="1"/>
    <n v="206"/>
    <x v="196"/>
  </r>
  <r>
    <s v="ORD00202"/>
    <d v="2024-05-09T00:00:00"/>
    <s v="CUST112"/>
    <s v="North"/>
    <x v="2"/>
    <n v="3"/>
    <n v="232"/>
    <x v="118"/>
  </r>
  <r>
    <s v="ORD00203"/>
    <d v="2023-11-06T00:00:00"/>
    <s v="CUST163"/>
    <s v="East"/>
    <x v="3"/>
    <n v="5"/>
    <n v="413"/>
    <x v="197"/>
  </r>
  <r>
    <s v="ORD00204"/>
    <d v="2024-05-03T00:00:00"/>
    <s v="CUST162"/>
    <s v="South"/>
    <x v="0"/>
    <n v="5"/>
    <n v="207"/>
    <x v="198"/>
  </r>
  <r>
    <s v="ORD00205"/>
    <d v="2023-09-28T00:00:00"/>
    <s v="CUST201"/>
    <s v="South"/>
    <x v="3"/>
    <n v="3"/>
    <n v="549"/>
    <x v="199"/>
  </r>
  <r>
    <s v="ORD00206"/>
    <d v="2024-07-17T00:00:00"/>
    <s v="CUST197"/>
    <s v="South"/>
    <x v="3"/>
    <n v="5"/>
    <n v="867"/>
    <x v="200"/>
  </r>
  <r>
    <s v="ORD00207"/>
    <d v="2023-06-24T00:00:00"/>
    <s v="CUST183"/>
    <s v="West"/>
    <x v="4"/>
    <n v="3"/>
    <n v="183"/>
    <x v="201"/>
  </r>
  <r>
    <s v="ORD00208"/>
    <d v="2023-10-21T00:00:00"/>
    <s v="CUST037"/>
    <s v="East"/>
    <x v="0"/>
    <n v="1"/>
    <n v="827"/>
    <x v="202"/>
  </r>
  <r>
    <s v="ORD00209"/>
    <d v="2024-03-20T00:00:00"/>
    <s v="CUST195"/>
    <s v="South"/>
    <x v="1"/>
    <n v="3"/>
    <n v="135"/>
    <x v="203"/>
  </r>
  <r>
    <s v="ORD00210"/>
    <d v="2023-06-16T00:00:00"/>
    <s v="CUST184"/>
    <s v="West"/>
    <x v="0"/>
    <n v="5"/>
    <n v="367"/>
    <x v="204"/>
  </r>
  <r>
    <s v="ORD00211"/>
    <d v="2023-02-13T00:00:00"/>
    <s v="CUST144"/>
    <s v="East"/>
    <x v="1"/>
    <n v="5"/>
    <n v="283"/>
    <x v="205"/>
  </r>
  <r>
    <s v="ORD00212"/>
    <d v="2023-08-25T00:00:00"/>
    <s v="CUST167"/>
    <s v="West"/>
    <x v="0"/>
    <n v="4"/>
    <n v="789"/>
    <x v="206"/>
  </r>
  <r>
    <s v="ORD00213"/>
    <d v="2023-01-09T00:00:00"/>
    <s v="CUST231"/>
    <s v="South"/>
    <x v="0"/>
    <n v="1"/>
    <n v="107"/>
    <x v="207"/>
  </r>
  <r>
    <s v="ORD00214"/>
    <d v="2023-01-17T00:00:00"/>
    <s v="CUST261"/>
    <s v="East"/>
    <x v="4"/>
    <n v="3"/>
    <n v="561"/>
    <x v="208"/>
  </r>
  <r>
    <s v="ORD00215"/>
    <d v="2024-09-02T00:00:00"/>
    <s v="CUST081"/>
    <s v="West"/>
    <x v="2"/>
    <n v="4"/>
    <n v="846"/>
    <x v="209"/>
  </r>
  <r>
    <s v="ORD00216"/>
    <d v="2023-09-16T00:00:00"/>
    <s v="CUST094"/>
    <s v="East"/>
    <x v="1"/>
    <n v="2"/>
    <n v="572"/>
    <x v="210"/>
  </r>
  <r>
    <s v="ORD00217"/>
    <d v="2024-02-04T00:00:00"/>
    <s v="CUST252"/>
    <s v="East"/>
    <x v="3"/>
    <n v="1"/>
    <n v="986"/>
    <x v="211"/>
  </r>
  <r>
    <s v="ORD00218"/>
    <d v="2023-12-15T00:00:00"/>
    <s v="CUST262"/>
    <s v="South"/>
    <x v="4"/>
    <n v="3"/>
    <n v="992"/>
    <x v="212"/>
  </r>
  <r>
    <s v="ORD00219"/>
    <d v="2023-01-01T00:00:00"/>
    <s v="CUST229"/>
    <s v="West"/>
    <x v="3"/>
    <n v="2"/>
    <n v="938"/>
    <x v="213"/>
  </r>
  <r>
    <s v="ORD00220"/>
    <d v="2023-05-23T00:00:00"/>
    <s v="CUST147"/>
    <s v="West"/>
    <x v="0"/>
    <n v="1"/>
    <n v="487"/>
    <x v="214"/>
  </r>
  <r>
    <s v="ORD00221"/>
    <d v="2023-12-16T00:00:00"/>
    <s v="CUST123"/>
    <s v="North"/>
    <x v="0"/>
    <n v="5"/>
    <n v="937"/>
    <x v="215"/>
  </r>
  <r>
    <s v="ORD00222"/>
    <d v="2024-10-19T00:00:00"/>
    <s v="CUST277"/>
    <s v="East"/>
    <x v="4"/>
    <n v="1"/>
    <n v="891"/>
    <x v="216"/>
  </r>
  <r>
    <s v="ORD00223"/>
    <d v="2024-10-18T00:00:00"/>
    <s v="CUST300"/>
    <s v="South"/>
    <x v="2"/>
    <n v="3"/>
    <n v="152"/>
    <x v="217"/>
  </r>
  <r>
    <s v="ORD00224"/>
    <d v="2024-04-17T00:00:00"/>
    <s v="CUST255"/>
    <s v="West"/>
    <x v="3"/>
    <n v="1"/>
    <n v="723"/>
    <x v="218"/>
  </r>
  <r>
    <s v="ORD00225"/>
    <d v="2023-02-15T00:00:00"/>
    <s v="CUST157"/>
    <s v="East"/>
    <x v="2"/>
    <n v="4"/>
    <n v="500"/>
    <x v="219"/>
  </r>
  <r>
    <s v="ORD00226"/>
    <d v="2024-03-09T00:00:00"/>
    <s v="CUST087"/>
    <s v="South"/>
    <x v="3"/>
    <n v="3"/>
    <n v="408"/>
    <x v="146"/>
  </r>
  <r>
    <s v="ORD00227"/>
    <d v="2024-11-12T00:00:00"/>
    <s v="CUST207"/>
    <s v="East"/>
    <x v="4"/>
    <n v="3"/>
    <n v="204"/>
    <x v="220"/>
  </r>
  <r>
    <s v="ORD00228"/>
    <d v="2024-03-03T00:00:00"/>
    <s v="CUST100"/>
    <s v="West"/>
    <x v="1"/>
    <n v="5"/>
    <n v="463"/>
    <x v="221"/>
  </r>
  <r>
    <s v="ORD00229"/>
    <d v="2023-06-15T00:00:00"/>
    <s v="CUST020"/>
    <s v="East"/>
    <x v="2"/>
    <n v="5"/>
    <n v="659"/>
    <x v="222"/>
  </r>
  <r>
    <s v="ORD00230"/>
    <d v="2024-04-21T00:00:00"/>
    <s v="CUST117"/>
    <s v="North"/>
    <x v="1"/>
    <n v="3"/>
    <n v="659"/>
    <x v="223"/>
  </r>
  <r>
    <s v="ORD00231"/>
    <d v="2023-05-31T00:00:00"/>
    <s v="CUST118"/>
    <s v="South"/>
    <x v="1"/>
    <n v="4"/>
    <n v="1135"/>
    <x v="224"/>
  </r>
  <r>
    <s v="ORD00232"/>
    <d v="2023-12-05T00:00:00"/>
    <s v="CUST079"/>
    <s v="South"/>
    <x v="0"/>
    <n v="2"/>
    <n v="277"/>
    <x v="225"/>
  </r>
  <r>
    <s v="ORD00233"/>
    <d v="2024-08-29T00:00:00"/>
    <s v="CUST024"/>
    <s v="West"/>
    <x v="2"/>
    <n v="1"/>
    <n v="415"/>
    <x v="226"/>
  </r>
  <r>
    <s v="ORD00234"/>
    <d v="2024-08-24T00:00:00"/>
    <s v="CUST001"/>
    <s v="West"/>
    <x v="1"/>
    <n v="4"/>
    <n v="813"/>
    <x v="227"/>
  </r>
  <r>
    <s v="ORD00235"/>
    <d v="2023-05-12T00:00:00"/>
    <s v="CUST198"/>
    <s v="East"/>
    <x v="2"/>
    <n v="1"/>
    <n v="157"/>
    <x v="228"/>
  </r>
  <r>
    <s v="ORD00236"/>
    <d v="2023-08-25T00:00:00"/>
    <s v="CUST098"/>
    <s v="South"/>
    <x v="3"/>
    <n v="5"/>
    <n v="587"/>
    <x v="229"/>
  </r>
  <r>
    <s v="ORD00237"/>
    <d v="2023-11-26T00:00:00"/>
    <s v="CUST208"/>
    <s v="North"/>
    <x v="0"/>
    <n v="4"/>
    <n v="101"/>
    <x v="230"/>
  </r>
  <r>
    <s v="ORD00238"/>
    <d v="2023-11-30T00:00:00"/>
    <s v="CUST062"/>
    <s v="East"/>
    <x v="0"/>
    <n v="1"/>
    <n v="238"/>
    <x v="231"/>
  </r>
  <r>
    <s v="ORD00239"/>
    <d v="2024-07-23T00:00:00"/>
    <s v="CUST277"/>
    <s v="South"/>
    <x v="3"/>
    <n v="2"/>
    <n v="1059"/>
    <x v="232"/>
  </r>
  <r>
    <s v="ORD00240"/>
    <d v="2023-02-21T00:00:00"/>
    <s v="CUST009"/>
    <s v="North"/>
    <x v="3"/>
    <n v="4"/>
    <n v="540"/>
    <x v="233"/>
  </r>
  <r>
    <s v="ORD00241"/>
    <d v="2024-10-06T00:00:00"/>
    <s v="CUST041"/>
    <s v="West"/>
    <x v="3"/>
    <n v="3"/>
    <n v="729"/>
    <x v="234"/>
  </r>
  <r>
    <s v="ORD00242"/>
    <d v="2023-01-11T00:00:00"/>
    <s v="CUST268"/>
    <s v="East"/>
    <x v="3"/>
    <n v="5"/>
    <n v="742"/>
    <x v="235"/>
  </r>
  <r>
    <s v="ORD00243"/>
    <d v="2023-02-06T00:00:00"/>
    <s v="CUST064"/>
    <s v="North"/>
    <x v="3"/>
    <n v="5"/>
    <n v="881"/>
    <x v="236"/>
  </r>
  <r>
    <s v="ORD00244"/>
    <d v="2023-01-25T00:00:00"/>
    <s v="CUST084"/>
    <s v="North"/>
    <x v="4"/>
    <n v="1"/>
    <n v="578"/>
    <x v="237"/>
  </r>
  <r>
    <s v="ORD00245"/>
    <d v="2023-08-07T00:00:00"/>
    <s v="CUST056"/>
    <s v="North"/>
    <x v="4"/>
    <n v="5"/>
    <n v="553"/>
    <x v="238"/>
  </r>
  <r>
    <s v="ORD00246"/>
    <d v="2024-05-06T00:00:00"/>
    <s v="CUST002"/>
    <s v="South"/>
    <x v="1"/>
    <n v="5"/>
    <n v="562"/>
    <x v="239"/>
  </r>
  <r>
    <s v="ORD00247"/>
    <d v="2023-09-23T00:00:00"/>
    <s v="CUST226"/>
    <s v="West"/>
    <x v="3"/>
    <n v="5"/>
    <n v="237"/>
    <x v="240"/>
  </r>
  <r>
    <s v="ORD00248"/>
    <d v="2024-04-24T00:00:00"/>
    <s v="CUST241"/>
    <s v="West"/>
    <x v="0"/>
    <n v="4"/>
    <n v="441"/>
    <x v="241"/>
  </r>
  <r>
    <s v="ORD00249"/>
    <d v="2023-01-25T00:00:00"/>
    <s v="CUST267"/>
    <s v="South"/>
    <x v="4"/>
    <n v="5"/>
    <n v="759"/>
    <x v="242"/>
  </r>
  <r>
    <s v="ORD00250"/>
    <d v="2024-06-10T00:00:00"/>
    <s v="CUST106"/>
    <s v="West"/>
    <x v="2"/>
    <n v="4"/>
    <n v="665"/>
    <x v="243"/>
  </r>
  <r>
    <s v="ORD00251"/>
    <d v="2023-10-17T00:00:00"/>
    <s v="CUST288"/>
    <s v="East"/>
    <x v="0"/>
    <n v="5"/>
    <n v="837"/>
    <x v="244"/>
  </r>
  <r>
    <s v="ORD00252"/>
    <d v="2023-11-20T00:00:00"/>
    <s v="CUST072"/>
    <s v="West"/>
    <x v="4"/>
    <n v="3"/>
    <n v="191"/>
    <x v="245"/>
  </r>
  <r>
    <s v="ORD00253"/>
    <d v="2023-10-24T00:00:00"/>
    <s v="CUST214"/>
    <s v="East"/>
    <x v="0"/>
    <n v="5"/>
    <n v="920"/>
    <x v="246"/>
  </r>
  <r>
    <s v="ORD00254"/>
    <d v="2023-01-20T00:00:00"/>
    <s v="CUST049"/>
    <s v="South"/>
    <x v="3"/>
    <n v="4"/>
    <n v="954"/>
    <x v="247"/>
  </r>
  <r>
    <s v="ORD00255"/>
    <d v="2024-06-15T00:00:00"/>
    <s v="CUST292"/>
    <s v="East"/>
    <x v="1"/>
    <n v="2"/>
    <n v="1086"/>
    <x v="248"/>
  </r>
  <r>
    <s v="ORD00256"/>
    <d v="2023-09-15T00:00:00"/>
    <s v="CUST127"/>
    <s v="West"/>
    <x v="3"/>
    <n v="1"/>
    <n v="1149"/>
    <x v="249"/>
  </r>
  <r>
    <s v="ORD00257"/>
    <d v="2024-06-09T00:00:00"/>
    <s v="CUST273"/>
    <s v="South"/>
    <x v="1"/>
    <n v="2"/>
    <n v="458"/>
    <x v="250"/>
  </r>
  <r>
    <s v="ORD00258"/>
    <d v="2024-11-22T00:00:00"/>
    <s v="CUST039"/>
    <s v="West"/>
    <x v="4"/>
    <n v="2"/>
    <n v="938"/>
    <x v="213"/>
  </r>
  <r>
    <s v="ORD00259"/>
    <d v="2023-05-31T00:00:00"/>
    <s v="CUST103"/>
    <s v="West"/>
    <x v="0"/>
    <n v="2"/>
    <n v="531"/>
    <x v="251"/>
  </r>
  <r>
    <s v="ORD00260"/>
    <d v="2023-07-17T00:00:00"/>
    <s v="CUST054"/>
    <s v="West"/>
    <x v="2"/>
    <n v="3"/>
    <n v="792"/>
    <x v="252"/>
  </r>
  <r>
    <s v="ORD00261"/>
    <d v="2024-04-29T00:00:00"/>
    <s v="CUST134"/>
    <s v="East"/>
    <x v="1"/>
    <n v="4"/>
    <n v="719"/>
    <x v="253"/>
  </r>
  <r>
    <s v="ORD00262"/>
    <d v="2023-01-09T00:00:00"/>
    <s v="CUST283"/>
    <s v="West"/>
    <x v="3"/>
    <n v="2"/>
    <n v="303"/>
    <x v="254"/>
  </r>
  <r>
    <s v="ORD00263"/>
    <d v="2023-02-08T00:00:00"/>
    <s v="CUST026"/>
    <s v="North"/>
    <x v="3"/>
    <n v="3"/>
    <n v="1079"/>
    <x v="255"/>
  </r>
  <r>
    <s v="ORD00264"/>
    <d v="2023-01-24T00:00:00"/>
    <s v="CUST240"/>
    <s v="West"/>
    <x v="3"/>
    <n v="2"/>
    <n v="527"/>
    <x v="256"/>
  </r>
  <r>
    <s v="ORD00265"/>
    <d v="2023-02-09T00:00:00"/>
    <s v="CUST171"/>
    <s v="South"/>
    <x v="1"/>
    <n v="2"/>
    <n v="1041"/>
    <x v="257"/>
  </r>
  <r>
    <s v="ORD00266"/>
    <d v="2023-08-04T00:00:00"/>
    <s v="CUST076"/>
    <s v="West"/>
    <x v="2"/>
    <n v="3"/>
    <n v="1015"/>
    <x v="258"/>
  </r>
  <r>
    <s v="ORD00267"/>
    <d v="2023-06-12T00:00:00"/>
    <s v="CUST161"/>
    <s v="South"/>
    <x v="1"/>
    <n v="3"/>
    <n v="550"/>
    <x v="259"/>
  </r>
  <r>
    <s v="ORD00268"/>
    <d v="2024-08-05T00:00:00"/>
    <s v="CUST267"/>
    <s v="South"/>
    <x v="0"/>
    <n v="5"/>
    <n v="864"/>
    <x v="260"/>
  </r>
  <r>
    <s v="ORD00269"/>
    <d v="2024-05-07T00:00:00"/>
    <s v="CUST220"/>
    <s v="East"/>
    <x v="2"/>
    <n v="5"/>
    <n v="1191"/>
    <x v="261"/>
  </r>
  <r>
    <s v="ORD00270"/>
    <d v="2023-05-23T00:00:00"/>
    <s v="CUST211"/>
    <s v="North"/>
    <x v="0"/>
    <n v="3"/>
    <n v="1038"/>
    <x v="262"/>
  </r>
  <r>
    <s v="ORD00271"/>
    <d v="2023-03-15T00:00:00"/>
    <s v="CUST181"/>
    <s v="East"/>
    <x v="2"/>
    <n v="5"/>
    <n v="335"/>
    <x v="263"/>
  </r>
  <r>
    <s v="ORD00272"/>
    <d v="2023-01-27T00:00:00"/>
    <s v="CUST122"/>
    <s v="East"/>
    <x v="0"/>
    <n v="3"/>
    <n v="912"/>
    <x v="264"/>
  </r>
  <r>
    <s v="ORD00273"/>
    <d v="2023-10-20T00:00:00"/>
    <s v="CUST176"/>
    <s v="South"/>
    <x v="2"/>
    <n v="1"/>
    <n v="452"/>
    <x v="265"/>
  </r>
  <r>
    <s v="ORD00274"/>
    <d v="2023-12-03T00:00:00"/>
    <s v="CUST150"/>
    <s v="West"/>
    <x v="1"/>
    <n v="5"/>
    <n v="527"/>
    <x v="266"/>
  </r>
  <r>
    <s v="ORD00275"/>
    <d v="2024-10-02T00:00:00"/>
    <s v="CUST066"/>
    <s v="East"/>
    <x v="0"/>
    <n v="1"/>
    <n v="630"/>
    <x v="267"/>
  </r>
  <r>
    <s v="ORD00276"/>
    <d v="2024-10-21T00:00:00"/>
    <s v="CUST087"/>
    <s v="West"/>
    <x v="0"/>
    <n v="3"/>
    <n v="1129"/>
    <x v="268"/>
  </r>
  <r>
    <s v="ORD00277"/>
    <d v="2024-03-03T00:00:00"/>
    <s v="CUST239"/>
    <s v="South"/>
    <x v="4"/>
    <n v="4"/>
    <n v="453"/>
    <x v="269"/>
  </r>
  <r>
    <s v="ORD00278"/>
    <d v="2023-03-29T00:00:00"/>
    <s v="CUST158"/>
    <s v="East"/>
    <x v="4"/>
    <n v="1"/>
    <n v="624"/>
    <x v="270"/>
  </r>
  <r>
    <s v="ORD00279"/>
    <d v="2023-05-08T00:00:00"/>
    <s v="CUST069"/>
    <s v="East"/>
    <x v="2"/>
    <n v="2"/>
    <n v="1160"/>
    <x v="271"/>
  </r>
  <r>
    <s v="ORD00280"/>
    <d v="2023-02-27T00:00:00"/>
    <s v="CUST212"/>
    <s v="North"/>
    <x v="4"/>
    <n v="3"/>
    <n v="1051"/>
    <x v="272"/>
  </r>
  <r>
    <s v="ORD00281"/>
    <d v="2024-06-03T00:00:00"/>
    <s v="CUST288"/>
    <s v="East"/>
    <x v="2"/>
    <n v="1"/>
    <n v="601"/>
    <x v="273"/>
  </r>
  <r>
    <s v="ORD00282"/>
    <d v="2023-12-08T00:00:00"/>
    <s v="CUST230"/>
    <s v="North"/>
    <x v="2"/>
    <n v="4"/>
    <n v="626"/>
    <x v="274"/>
  </r>
  <r>
    <s v="ORD00283"/>
    <d v="2023-06-13T00:00:00"/>
    <s v="CUST262"/>
    <s v="East"/>
    <x v="1"/>
    <n v="5"/>
    <n v="1096"/>
    <x v="275"/>
  </r>
  <r>
    <s v="ORD00284"/>
    <d v="2024-09-05T00:00:00"/>
    <s v="CUST046"/>
    <s v="East"/>
    <x v="4"/>
    <n v="4"/>
    <n v="376"/>
    <x v="276"/>
  </r>
  <r>
    <s v="ORD00285"/>
    <d v="2023-04-19T00:00:00"/>
    <s v="CUST261"/>
    <s v="North"/>
    <x v="3"/>
    <n v="1"/>
    <n v="1061"/>
    <x v="277"/>
  </r>
  <r>
    <s v="ORD00286"/>
    <d v="2024-11-27T00:00:00"/>
    <s v="CUST156"/>
    <s v="West"/>
    <x v="1"/>
    <n v="3"/>
    <n v="820"/>
    <x v="164"/>
  </r>
  <r>
    <s v="ORD00287"/>
    <d v="2024-10-28T00:00:00"/>
    <s v="CUST208"/>
    <s v="West"/>
    <x v="4"/>
    <n v="2"/>
    <n v="601"/>
    <x v="278"/>
  </r>
  <r>
    <s v="ORD00288"/>
    <d v="2023-08-06T00:00:00"/>
    <s v="CUST127"/>
    <s v="North"/>
    <x v="1"/>
    <n v="3"/>
    <n v="354"/>
    <x v="251"/>
  </r>
  <r>
    <s v="ORD00289"/>
    <d v="2023-01-24T00:00:00"/>
    <s v="CUST174"/>
    <s v="North"/>
    <x v="4"/>
    <n v="5"/>
    <n v="279"/>
    <x v="279"/>
  </r>
  <r>
    <s v="ORD00290"/>
    <d v="2024-05-11T00:00:00"/>
    <s v="CUST209"/>
    <s v="North"/>
    <x v="0"/>
    <n v="2"/>
    <n v="956"/>
    <x v="280"/>
  </r>
  <r>
    <s v="ORD00291"/>
    <d v="2023-05-10T00:00:00"/>
    <s v="CUST158"/>
    <s v="South"/>
    <x v="1"/>
    <n v="3"/>
    <n v="722"/>
    <x v="281"/>
  </r>
  <r>
    <s v="ORD00292"/>
    <d v="2024-06-14T00:00:00"/>
    <s v="CUST046"/>
    <s v="South"/>
    <x v="1"/>
    <n v="4"/>
    <n v="491"/>
    <x v="282"/>
  </r>
  <r>
    <s v="ORD00293"/>
    <d v="2023-07-11T00:00:00"/>
    <s v="CUST288"/>
    <s v="West"/>
    <x v="0"/>
    <n v="5"/>
    <n v="762"/>
    <x v="283"/>
  </r>
  <r>
    <s v="ORD00294"/>
    <d v="2024-03-01T00:00:00"/>
    <s v="CUST075"/>
    <s v="North"/>
    <x v="2"/>
    <n v="3"/>
    <n v="873"/>
    <x v="284"/>
  </r>
  <r>
    <s v="ORD00295"/>
    <d v="2023-05-28T00:00:00"/>
    <s v="CUST174"/>
    <s v="West"/>
    <x v="1"/>
    <n v="4"/>
    <n v="1125"/>
    <x v="285"/>
  </r>
  <r>
    <s v="ORD00296"/>
    <d v="2023-08-27T00:00:00"/>
    <s v="CUST250"/>
    <s v="East"/>
    <x v="0"/>
    <n v="1"/>
    <n v="765"/>
    <x v="286"/>
  </r>
  <r>
    <s v="ORD00297"/>
    <d v="2023-04-30T00:00:00"/>
    <s v="CUST221"/>
    <s v="East"/>
    <x v="2"/>
    <n v="1"/>
    <n v="1167"/>
    <x v="287"/>
  </r>
  <r>
    <s v="ORD00298"/>
    <d v="2023-12-15T00:00:00"/>
    <s v="CUST013"/>
    <s v="South"/>
    <x v="0"/>
    <n v="5"/>
    <n v="615"/>
    <x v="288"/>
  </r>
  <r>
    <s v="ORD00299"/>
    <d v="2024-11-19T00:00:00"/>
    <s v="CUST153"/>
    <s v="North"/>
    <x v="3"/>
    <n v="5"/>
    <n v="309"/>
    <x v="289"/>
  </r>
  <r>
    <s v="ORD00300"/>
    <d v="2024-05-09T00:00:00"/>
    <s v="CUST269"/>
    <s v="North"/>
    <x v="2"/>
    <n v="5"/>
    <n v="262"/>
    <x v="290"/>
  </r>
  <r>
    <s v="ORD00301"/>
    <d v="2024-06-21T00:00:00"/>
    <s v="CUST271"/>
    <s v="West"/>
    <x v="2"/>
    <n v="3"/>
    <n v="1164"/>
    <x v="291"/>
  </r>
  <r>
    <s v="ORD00302"/>
    <d v="2023-10-01T00:00:00"/>
    <s v="CUST073"/>
    <s v="West"/>
    <x v="0"/>
    <n v="3"/>
    <n v="362"/>
    <x v="124"/>
  </r>
  <r>
    <s v="ORD00303"/>
    <d v="2023-12-24T00:00:00"/>
    <s v="CUST076"/>
    <s v="East"/>
    <x v="2"/>
    <n v="4"/>
    <n v="302"/>
    <x v="292"/>
  </r>
  <r>
    <s v="ORD00304"/>
    <d v="2023-05-31T00:00:00"/>
    <s v="CUST139"/>
    <s v="West"/>
    <x v="4"/>
    <n v="2"/>
    <n v="985"/>
    <x v="293"/>
  </r>
  <r>
    <s v="ORD00305"/>
    <d v="2024-07-05T00:00:00"/>
    <s v="CUST036"/>
    <s v="West"/>
    <x v="0"/>
    <n v="5"/>
    <n v="140"/>
    <x v="294"/>
  </r>
  <r>
    <s v="ORD00306"/>
    <d v="2024-04-23T00:00:00"/>
    <s v="CUST002"/>
    <s v="South"/>
    <x v="0"/>
    <n v="3"/>
    <n v="432"/>
    <x v="295"/>
  </r>
  <r>
    <s v="ORD00307"/>
    <d v="2024-08-23T00:00:00"/>
    <s v="CUST003"/>
    <s v="North"/>
    <x v="3"/>
    <n v="5"/>
    <n v="540"/>
    <x v="296"/>
  </r>
  <r>
    <s v="ORD00308"/>
    <d v="2024-03-18T00:00:00"/>
    <s v="CUST027"/>
    <s v="South"/>
    <x v="4"/>
    <n v="4"/>
    <n v="165"/>
    <x v="297"/>
  </r>
  <r>
    <s v="ORD00309"/>
    <d v="2024-08-20T00:00:00"/>
    <s v="CUST229"/>
    <s v="West"/>
    <x v="1"/>
    <n v="1"/>
    <n v="526"/>
    <x v="298"/>
  </r>
  <r>
    <s v="ORD00310"/>
    <d v="2023-10-19T00:00:00"/>
    <s v="CUST219"/>
    <s v="South"/>
    <x v="4"/>
    <n v="5"/>
    <n v="659"/>
    <x v="222"/>
  </r>
  <r>
    <s v="ORD00311"/>
    <d v="2023-02-15T00:00:00"/>
    <s v="CUST261"/>
    <s v="West"/>
    <x v="4"/>
    <n v="5"/>
    <n v="1088"/>
    <x v="299"/>
  </r>
  <r>
    <s v="ORD00312"/>
    <d v="2023-10-07T00:00:00"/>
    <s v="CUST146"/>
    <s v="North"/>
    <x v="1"/>
    <n v="3"/>
    <n v="1167"/>
    <x v="300"/>
  </r>
  <r>
    <s v="ORD00313"/>
    <d v="2024-06-27T00:00:00"/>
    <s v="CUST227"/>
    <s v="East"/>
    <x v="1"/>
    <n v="2"/>
    <n v="727"/>
    <x v="301"/>
  </r>
  <r>
    <s v="ORD00314"/>
    <d v="2023-12-10T00:00:00"/>
    <s v="CUST114"/>
    <s v="North"/>
    <x v="4"/>
    <n v="3"/>
    <n v="406"/>
    <x v="302"/>
  </r>
  <r>
    <s v="ORD00315"/>
    <d v="2023-06-20T00:00:00"/>
    <s v="CUST024"/>
    <s v="East"/>
    <x v="4"/>
    <n v="2"/>
    <n v="1122"/>
    <x v="303"/>
  </r>
  <r>
    <s v="ORD00316"/>
    <d v="2024-04-13T00:00:00"/>
    <s v="CUST145"/>
    <s v="West"/>
    <x v="2"/>
    <n v="3"/>
    <n v="126"/>
    <x v="304"/>
  </r>
  <r>
    <s v="ORD00317"/>
    <d v="2023-05-16T00:00:00"/>
    <s v="CUST012"/>
    <s v="East"/>
    <x v="1"/>
    <n v="1"/>
    <n v="256"/>
    <x v="305"/>
  </r>
  <r>
    <s v="ORD00318"/>
    <d v="2024-10-26T00:00:00"/>
    <s v="CUST048"/>
    <s v="East"/>
    <x v="1"/>
    <n v="2"/>
    <n v="253"/>
    <x v="306"/>
  </r>
  <r>
    <s v="ORD00319"/>
    <d v="2023-07-25T00:00:00"/>
    <s v="CUST016"/>
    <s v="West"/>
    <x v="2"/>
    <n v="2"/>
    <n v="245"/>
    <x v="307"/>
  </r>
  <r>
    <s v="ORD00320"/>
    <d v="2023-03-27T00:00:00"/>
    <s v="CUST235"/>
    <s v="South"/>
    <x v="1"/>
    <n v="2"/>
    <n v="321"/>
    <x v="308"/>
  </r>
  <r>
    <s v="ORD00321"/>
    <d v="2023-10-25T00:00:00"/>
    <s v="CUST073"/>
    <s v="East"/>
    <x v="1"/>
    <n v="3"/>
    <n v="498"/>
    <x v="309"/>
  </r>
  <r>
    <s v="ORD00322"/>
    <d v="2024-05-06T00:00:00"/>
    <s v="CUST213"/>
    <s v="East"/>
    <x v="0"/>
    <n v="4"/>
    <n v="879"/>
    <x v="310"/>
  </r>
  <r>
    <s v="ORD00323"/>
    <d v="2023-12-04T00:00:00"/>
    <s v="CUST233"/>
    <s v="North"/>
    <x v="4"/>
    <n v="4"/>
    <n v="870"/>
    <x v="311"/>
  </r>
  <r>
    <s v="ORD00324"/>
    <d v="2024-02-15T00:00:00"/>
    <s v="CUST177"/>
    <s v="South"/>
    <x v="0"/>
    <n v="2"/>
    <n v="844"/>
    <x v="312"/>
  </r>
  <r>
    <s v="ORD00325"/>
    <d v="2023-01-09T00:00:00"/>
    <s v="CUST194"/>
    <s v="South"/>
    <x v="3"/>
    <n v="2"/>
    <n v="214"/>
    <x v="313"/>
  </r>
  <r>
    <s v="ORD00326"/>
    <d v="2023-12-17T00:00:00"/>
    <s v="CUST199"/>
    <s v="West"/>
    <x v="2"/>
    <n v="4"/>
    <n v="768"/>
    <x v="314"/>
  </r>
  <r>
    <s v="ORD00327"/>
    <d v="2024-04-27T00:00:00"/>
    <s v="CUST001"/>
    <s v="South"/>
    <x v="0"/>
    <n v="5"/>
    <n v="1185"/>
    <x v="315"/>
  </r>
  <r>
    <s v="ORD00328"/>
    <d v="2024-10-29T00:00:00"/>
    <s v="CUST176"/>
    <s v="South"/>
    <x v="2"/>
    <n v="5"/>
    <n v="391"/>
    <x v="316"/>
  </r>
  <r>
    <s v="ORD00329"/>
    <d v="2024-09-08T00:00:00"/>
    <s v="CUST286"/>
    <s v="West"/>
    <x v="0"/>
    <n v="4"/>
    <n v="277"/>
    <x v="317"/>
  </r>
  <r>
    <s v="ORD00330"/>
    <d v="2023-02-07T00:00:00"/>
    <s v="CUST080"/>
    <s v="North"/>
    <x v="1"/>
    <n v="1"/>
    <n v="260"/>
    <x v="318"/>
  </r>
  <r>
    <s v="ORD00331"/>
    <d v="2023-08-07T00:00:00"/>
    <s v="CUST288"/>
    <s v="North"/>
    <x v="2"/>
    <n v="2"/>
    <n v="854"/>
    <x v="319"/>
  </r>
  <r>
    <s v="ORD00332"/>
    <d v="2023-05-04T00:00:00"/>
    <s v="CUST094"/>
    <s v="North"/>
    <x v="3"/>
    <n v="3"/>
    <n v="576"/>
    <x v="122"/>
  </r>
  <r>
    <s v="ORD00333"/>
    <d v="2024-01-23T00:00:00"/>
    <s v="CUST009"/>
    <s v="West"/>
    <x v="0"/>
    <n v="1"/>
    <n v="447"/>
    <x v="320"/>
  </r>
  <r>
    <s v="ORD00334"/>
    <d v="2024-08-23T00:00:00"/>
    <s v="CUST166"/>
    <s v="South"/>
    <x v="1"/>
    <n v="4"/>
    <n v="1070"/>
    <x v="321"/>
  </r>
  <r>
    <s v="ORD00335"/>
    <d v="2024-07-11T00:00:00"/>
    <s v="CUST296"/>
    <s v="South"/>
    <x v="3"/>
    <n v="4"/>
    <n v="796"/>
    <x v="322"/>
  </r>
  <r>
    <s v="ORD00336"/>
    <d v="2024-08-29T00:00:00"/>
    <s v="CUST017"/>
    <s v="West"/>
    <x v="4"/>
    <n v="4"/>
    <n v="767"/>
    <x v="323"/>
  </r>
  <r>
    <s v="ORD00337"/>
    <d v="2024-10-20T00:00:00"/>
    <s v="CUST218"/>
    <s v="South"/>
    <x v="4"/>
    <n v="5"/>
    <n v="414"/>
    <x v="324"/>
  </r>
  <r>
    <s v="ORD00338"/>
    <d v="2024-10-15T00:00:00"/>
    <s v="CUST179"/>
    <s v="East"/>
    <x v="0"/>
    <n v="4"/>
    <n v="263"/>
    <x v="325"/>
  </r>
  <r>
    <s v="ORD00339"/>
    <d v="2024-10-20T00:00:00"/>
    <s v="CUST104"/>
    <s v="East"/>
    <x v="4"/>
    <n v="1"/>
    <n v="202"/>
    <x v="326"/>
  </r>
  <r>
    <s v="ORD00340"/>
    <d v="2024-10-04T00:00:00"/>
    <s v="CUST086"/>
    <s v="South"/>
    <x v="1"/>
    <n v="3"/>
    <n v="604"/>
    <x v="269"/>
  </r>
  <r>
    <s v="ORD00341"/>
    <d v="2024-09-01T00:00:00"/>
    <s v="CUST236"/>
    <s v="West"/>
    <x v="1"/>
    <n v="3"/>
    <n v="246"/>
    <x v="327"/>
  </r>
  <r>
    <s v="ORD00342"/>
    <d v="2023-02-19T00:00:00"/>
    <s v="CUST124"/>
    <s v="North"/>
    <x v="0"/>
    <n v="4"/>
    <n v="114"/>
    <x v="217"/>
  </r>
  <r>
    <s v="ORD00343"/>
    <d v="2023-04-30T00:00:00"/>
    <s v="CUST081"/>
    <s v="East"/>
    <x v="2"/>
    <n v="5"/>
    <n v="405"/>
    <x v="328"/>
  </r>
  <r>
    <s v="ORD00344"/>
    <d v="2023-10-13T00:00:00"/>
    <s v="CUST100"/>
    <s v="North"/>
    <x v="1"/>
    <n v="2"/>
    <n v="829"/>
    <x v="329"/>
  </r>
  <r>
    <s v="ORD00345"/>
    <d v="2024-08-06T00:00:00"/>
    <s v="CUST111"/>
    <s v="North"/>
    <x v="1"/>
    <n v="2"/>
    <n v="547"/>
    <x v="330"/>
  </r>
  <r>
    <s v="ORD00346"/>
    <d v="2023-10-31T00:00:00"/>
    <s v="CUST233"/>
    <s v="West"/>
    <x v="1"/>
    <n v="1"/>
    <n v="652"/>
    <x v="141"/>
  </r>
  <r>
    <s v="ORD00347"/>
    <d v="2024-09-08T00:00:00"/>
    <s v="CUST291"/>
    <s v="South"/>
    <x v="4"/>
    <n v="2"/>
    <n v="434"/>
    <x v="331"/>
  </r>
  <r>
    <s v="ORD00348"/>
    <d v="2023-06-05T00:00:00"/>
    <s v="CUST280"/>
    <s v="North"/>
    <x v="3"/>
    <n v="4"/>
    <n v="672"/>
    <x v="332"/>
  </r>
  <r>
    <s v="ORD00349"/>
    <d v="2024-10-19T00:00:00"/>
    <s v="CUST107"/>
    <s v="East"/>
    <x v="1"/>
    <n v="4"/>
    <n v="425"/>
    <x v="333"/>
  </r>
  <r>
    <s v="ORD00350"/>
    <d v="2024-01-11T00:00:00"/>
    <s v="CUST042"/>
    <s v="West"/>
    <x v="4"/>
    <n v="4"/>
    <n v="304"/>
    <x v="334"/>
  </r>
  <r>
    <s v="ORD00351"/>
    <d v="2023-05-08T00:00:00"/>
    <s v="CUST256"/>
    <s v="West"/>
    <x v="4"/>
    <n v="5"/>
    <n v="834"/>
    <x v="335"/>
  </r>
  <r>
    <s v="ORD00352"/>
    <d v="2024-04-02T00:00:00"/>
    <s v="CUST015"/>
    <s v="West"/>
    <x v="0"/>
    <n v="1"/>
    <n v="347"/>
    <x v="336"/>
  </r>
  <r>
    <s v="ORD00353"/>
    <d v="2023-07-31T00:00:00"/>
    <s v="CUST080"/>
    <s v="South"/>
    <x v="3"/>
    <n v="5"/>
    <n v="346"/>
    <x v="337"/>
  </r>
  <r>
    <s v="ORD00354"/>
    <d v="2023-05-12T00:00:00"/>
    <s v="CUST024"/>
    <s v="North"/>
    <x v="3"/>
    <n v="3"/>
    <n v="135"/>
    <x v="203"/>
  </r>
  <r>
    <s v="ORD00355"/>
    <d v="2024-04-10T00:00:00"/>
    <s v="CUST042"/>
    <s v="West"/>
    <x v="4"/>
    <n v="1"/>
    <n v="947"/>
    <x v="338"/>
  </r>
  <r>
    <s v="ORD00356"/>
    <d v="2024-11-27T00:00:00"/>
    <s v="CUST201"/>
    <s v="North"/>
    <x v="3"/>
    <n v="4"/>
    <n v="507"/>
    <x v="339"/>
  </r>
  <r>
    <s v="ORD00357"/>
    <d v="2023-04-25T00:00:00"/>
    <s v="CUST293"/>
    <s v="East"/>
    <x v="3"/>
    <n v="5"/>
    <n v="536"/>
    <x v="340"/>
  </r>
  <r>
    <s v="ORD00358"/>
    <d v="2024-03-18T00:00:00"/>
    <s v="CUST254"/>
    <s v="South"/>
    <x v="3"/>
    <n v="2"/>
    <n v="1063"/>
    <x v="341"/>
  </r>
  <r>
    <s v="ORD00359"/>
    <d v="2024-01-09T00:00:00"/>
    <s v="CUST172"/>
    <s v="East"/>
    <x v="0"/>
    <n v="1"/>
    <n v="1017"/>
    <x v="342"/>
  </r>
  <r>
    <s v="ORD00360"/>
    <d v="2024-04-18T00:00:00"/>
    <s v="CUST220"/>
    <s v="East"/>
    <x v="4"/>
    <n v="3"/>
    <n v="342"/>
    <x v="343"/>
  </r>
  <r>
    <s v="ORD00361"/>
    <d v="2024-04-18T00:00:00"/>
    <s v="CUST078"/>
    <s v="North"/>
    <x v="2"/>
    <n v="2"/>
    <n v="1016"/>
    <x v="344"/>
  </r>
  <r>
    <s v="ORD00362"/>
    <d v="2023-01-23T00:00:00"/>
    <s v="CUST016"/>
    <s v="South"/>
    <x v="3"/>
    <n v="4"/>
    <n v="601"/>
    <x v="345"/>
  </r>
  <r>
    <s v="ORD00363"/>
    <d v="2024-06-10T00:00:00"/>
    <s v="CUST139"/>
    <s v="East"/>
    <x v="2"/>
    <n v="2"/>
    <n v="835"/>
    <x v="346"/>
  </r>
  <r>
    <s v="ORD00364"/>
    <d v="2023-11-30T00:00:00"/>
    <s v="CUST295"/>
    <s v="South"/>
    <x v="3"/>
    <n v="4"/>
    <n v="485"/>
    <x v="347"/>
  </r>
  <r>
    <s v="ORD00365"/>
    <d v="2023-08-05T00:00:00"/>
    <s v="CUST188"/>
    <s v="South"/>
    <x v="2"/>
    <n v="4"/>
    <n v="840"/>
    <x v="348"/>
  </r>
  <r>
    <s v="ORD00366"/>
    <d v="2024-08-26T00:00:00"/>
    <s v="CUST168"/>
    <s v="North"/>
    <x v="2"/>
    <n v="2"/>
    <n v="332"/>
    <x v="349"/>
  </r>
  <r>
    <s v="ORD00367"/>
    <d v="2024-05-11T00:00:00"/>
    <s v="CUST025"/>
    <s v="West"/>
    <x v="1"/>
    <n v="4"/>
    <n v="660"/>
    <x v="350"/>
  </r>
  <r>
    <s v="ORD00368"/>
    <d v="2024-04-30T00:00:00"/>
    <s v="CUST121"/>
    <s v="South"/>
    <x v="3"/>
    <n v="3"/>
    <n v="213"/>
    <x v="351"/>
  </r>
  <r>
    <s v="ORD00369"/>
    <d v="2023-04-14T00:00:00"/>
    <s v="CUST228"/>
    <s v="North"/>
    <x v="3"/>
    <n v="1"/>
    <n v="186"/>
    <x v="352"/>
  </r>
  <r>
    <s v="ORD00370"/>
    <d v="2024-08-18T00:00:00"/>
    <s v="CUST209"/>
    <s v="West"/>
    <x v="4"/>
    <n v="3"/>
    <n v="734"/>
    <x v="353"/>
  </r>
  <r>
    <s v="ORD00371"/>
    <d v="2024-05-17T00:00:00"/>
    <s v="CUST222"/>
    <s v="North"/>
    <x v="3"/>
    <n v="5"/>
    <n v="892"/>
    <x v="102"/>
  </r>
  <r>
    <s v="ORD00372"/>
    <d v="2024-11-12T00:00:00"/>
    <s v="CUST142"/>
    <s v="South"/>
    <x v="1"/>
    <n v="2"/>
    <n v="704"/>
    <x v="354"/>
  </r>
  <r>
    <s v="ORD00373"/>
    <d v="2024-06-21T00:00:00"/>
    <s v="CUST068"/>
    <s v="North"/>
    <x v="3"/>
    <n v="2"/>
    <n v="575"/>
    <x v="355"/>
  </r>
  <r>
    <s v="ORD00374"/>
    <d v="2023-01-03T00:00:00"/>
    <s v="CUST116"/>
    <s v="West"/>
    <x v="4"/>
    <n v="3"/>
    <n v="571"/>
    <x v="356"/>
  </r>
  <r>
    <s v="ORD00375"/>
    <d v="2024-08-24T00:00:00"/>
    <s v="CUST169"/>
    <s v="West"/>
    <x v="1"/>
    <n v="2"/>
    <n v="927"/>
    <x v="357"/>
  </r>
  <r>
    <s v="ORD00376"/>
    <d v="2023-06-13T00:00:00"/>
    <s v="CUST196"/>
    <s v="South"/>
    <x v="3"/>
    <n v="2"/>
    <n v="598"/>
    <x v="358"/>
  </r>
  <r>
    <s v="ORD00377"/>
    <d v="2023-10-06T00:00:00"/>
    <s v="CUST239"/>
    <s v="North"/>
    <x v="3"/>
    <n v="3"/>
    <n v="372"/>
    <x v="119"/>
  </r>
  <r>
    <s v="ORD00378"/>
    <d v="2024-03-27T00:00:00"/>
    <s v="CUST285"/>
    <s v="East"/>
    <x v="1"/>
    <n v="3"/>
    <n v="130"/>
    <x v="359"/>
  </r>
  <r>
    <s v="ORD00379"/>
    <d v="2024-02-14T00:00:00"/>
    <s v="CUST194"/>
    <s v="East"/>
    <x v="4"/>
    <n v="1"/>
    <n v="796"/>
    <x v="360"/>
  </r>
  <r>
    <s v="ORD00380"/>
    <d v="2024-05-10T00:00:00"/>
    <s v="CUST189"/>
    <s v="East"/>
    <x v="2"/>
    <n v="5"/>
    <n v="561"/>
    <x v="83"/>
  </r>
  <r>
    <s v="ORD00381"/>
    <d v="2023-05-08T00:00:00"/>
    <s v="CUST071"/>
    <s v="North"/>
    <x v="0"/>
    <n v="5"/>
    <n v="192"/>
    <x v="361"/>
  </r>
  <r>
    <s v="ORD00382"/>
    <d v="2023-09-02T00:00:00"/>
    <s v="CUST290"/>
    <s v="South"/>
    <x v="2"/>
    <n v="2"/>
    <n v="467"/>
    <x v="362"/>
  </r>
  <r>
    <s v="ORD00383"/>
    <d v="2024-07-22T00:00:00"/>
    <s v="CUST211"/>
    <s v="North"/>
    <x v="0"/>
    <n v="3"/>
    <n v="430"/>
    <x v="363"/>
  </r>
  <r>
    <s v="ORD00384"/>
    <d v="2024-01-02T00:00:00"/>
    <s v="CUST288"/>
    <s v="East"/>
    <x v="0"/>
    <n v="4"/>
    <n v="533"/>
    <x v="364"/>
  </r>
  <r>
    <s v="ORD00385"/>
    <d v="2024-08-19T00:00:00"/>
    <s v="CUST170"/>
    <s v="North"/>
    <x v="1"/>
    <n v="5"/>
    <n v="420"/>
    <x v="365"/>
  </r>
  <r>
    <s v="ORD00386"/>
    <d v="2024-11-23T00:00:00"/>
    <s v="CUST197"/>
    <s v="West"/>
    <x v="0"/>
    <n v="3"/>
    <n v="1044"/>
    <x v="366"/>
  </r>
  <r>
    <s v="ORD00387"/>
    <d v="2024-01-06T00:00:00"/>
    <s v="CUST245"/>
    <s v="West"/>
    <x v="4"/>
    <n v="4"/>
    <n v="930"/>
    <x v="367"/>
  </r>
  <r>
    <s v="ORD00388"/>
    <d v="2024-11-26T00:00:00"/>
    <s v="CUST179"/>
    <s v="South"/>
    <x v="3"/>
    <n v="5"/>
    <n v="441"/>
    <x v="368"/>
  </r>
  <r>
    <s v="ORD00389"/>
    <d v="2023-04-21T00:00:00"/>
    <s v="CUST194"/>
    <s v="South"/>
    <x v="3"/>
    <n v="4"/>
    <n v="790"/>
    <x v="369"/>
  </r>
  <r>
    <s v="ORD00390"/>
    <d v="2023-07-10T00:00:00"/>
    <s v="CUST181"/>
    <s v="North"/>
    <x v="0"/>
    <n v="5"/>
    <n v="341"/>
    <x v="370"/>
  </r>
  <r>
    <s v="ORD00391"/>
    <d v="2023-01-01T00:00:00"/>
    <s v="CUST029"/>
    <s v="North"/>
    <x v="2"/>
    <n v="1"/>
    <n v="1052"/>
    <x v="325"/>
  </r>
  <r>
    <s v="ORD00392"/>
    <d v="2023-06-13T00:00:00"/>
    <s v="CUST275"/>
    <s v="West"/>
    <x v="0"/>
    <n v="3"/>
    <n v="775"/>
    <x v="63"/>
  </r>
  <r>
    <s v="ORD00393"/>
    <d v="2023-08-28T00:00:00"/>
    <s v="CUST197"/>
    <s v="South"/>
    <x v="0"/>
    <n v="5"/>
    <n v="576"/>
    <x v="371"/>
  </r>
  <r>
    <s v="ORD00394"/>
    <d v="2024-05-02T00:00:00"/>
    <s v="CUST261"/>
    <s v="South"/>
    <x v="3"/>
    <n v="4"/>
    <n v="178"/>
    <x v="372"/>
  </r>
  <r>
    <s v="ORD00395"/>
    <d v="2023-03-06T00:00:00"/>
    <s v="CUST196"/>
    <s v="East"/>
    <x v="0"/>
    <n v="3"/>
    <n v="1176"/>
    <x v="373"/>
  </r>
  <r>
    <s v="ORD00396"/>
    <d v="2024-08-14T00:00:00"/>
    <s v="CUST126"/>
    <s v="West"/>
    <x v="0"/>
    <n v="1"/>
    <n v="738"/>
    <x v="327"/>
  </r>
  <r>
    <s v="ORD00397"/>
    <d v="2023-07-29T00:00:00"/>
    <s v="CUST186"/>
    <s v="South"/>
    <x v="3"/>
    <n v="3"/>
    <n v="542"/>
    <x v="374"/>
  </r>
  <r>
    <s v="ORD00398"/>
    <d v="2024-11-20T00:00:00"/>
    <s v="CUST043"/>
    <s v="North"/>
    <x v="3"/>
    <n v="4"/>
    <n v="855"/>
    <x v="375"/>
  </r>
  <r>
    <s v="ORD00399"/>
    <d v="2024-03-06T00:00:00"/>
    <s v="CUST300"/>
    <s v="South"/>
    <x v="1"/>
    <n v="4"/>
    <n v="380"/>
    <x v="376"/>
  </r>
  <r>
    <s v="ORD00400"/>
    <d v="2024-07-26T00:00:00"/>
    <s v="CUST132"/>
    <s v="South"/>
    <x v="2"/>
    <n v="2"/>
    <n v="707"/>
    <x v="377"/>
  </r>
  <r>
    <s v="ORD00401"/>
    <d v="2023-07-07T00:00:00"/>
    <s v="CUST148"/>
    <s v="North"/>
    <x v="0"/>
    <n v="5"/>
    <n v="460"/>
    <x v="21"/>
  </r>
  <r>
    <s v="ORD00402"/>
    <d v="2023-09-14T00:00:00"/>
    <s v="CUST132"/>
    <s v="East"/>
    <x v="2"/>
    <n v="2"/>
    <n v="1142"/>
    <x v="378"/>
  </r>
  <r>
    <s v="ORD00403"/>
    <d v="2023-11-26T00:00:00"/>
    <s v="CUST045"/>
    <s v="West"/>
    <x v="0"/>
    <n v="1"/>
    <n v="939"/>
    <x v="379"/>
  </r>
  <r>
    <s v="ORD00404"/>
    <d v="2024-03-20T00:00:00"/>
    <s v="CUST240"/>
    <s v="West"/>
    <x v="1"/>
    <n v="4"/>
    <n v="541"/>
    <x v="380"/>
  </r>
  <r>
    <s v="ORD00405"/>
    <d v="2024-10-17T00:00:00"/>
    <s v="CUST202"/>
    <s v="South"/>
    <x v="3"/>
    <n v="2"/>
    <n v="207"/>
    <x v="381"/>
  </r>
  <r>
    <s v="ORD00406"/>
    <d v="2023-09-06T00:00:00"/>
    <s v="CUST254"/>
    <s v="North"/>
    <x v="4"/>
    <n v="4"/>
    <n v="1106"/>
    <x v="382"/>
  </r>
  <r>
    <s v="ORD00407"/>
    <d v="2024-03-03T00:00:00"/>
    <s v="CUST152"/>
    <s v="East"/>
    <x v="3"/>
    <n v="1"/>
    <n v="124"/>
    <x v="61"/>
  </r>
  <r>
    <s v="ORD00408"/>
    <d v="2024-08-01T00:00:00"/>
    <s v="CUST075"/>
    <s v="East"/>
    <x v="2"/>
    <n v="2"/>
    <n v="494"/>
    <x v="383"/>
  </r>
  <r>
    <s v="ORD00409"/>
    <d v="2023-01-24T00:00:00"/>
    <s v="CUST018"/>
    <s v="East"/>
    <x v="4"/>
    <n v="3"/>
    <n v="986"/>
    <x v="384"/>
  </r>
  <r>
    <s v="ORD00410"/>
    <d v="2024-01-03T00:00:00"/>
    <s v="CUST123"/>
    <s v="North"/>
    <x v="2"/>
    <n v="4"/>
    <n v="584"/>
    <x v="385"/>
  </r>
  <r>
    <s v="ORD00411"/>
    <d v="2024-09-26T00:00:00"/>
    <s v="CUST070"/>
    <s v="North"/>
    <x v="2"/>
    <n v="3"/>
    <n v="904"/>
    <x v="129"/>
  </r>
  <r>
    <s v="ORD00412"/>
    <d v="2024-07-10T00:00:00"/>
    <s v="CUST116"/>
    <s v="East"/>
    <x v="0"/>
    <n v="3"/>
    <n v="1119"/>
    <x v="386"/>
  </r>
  <r>
    <s v="ORD00413"/>
    <d v="2023-08-17T00:00:00"/>
    <s v="CUST003"/>
    <s v="West"/>
    <x v="1"/>
    <n v="5"/>
    <n v="1100"/>
    <x v="387"/>
  </r>
  <r>
    <s v="ORD00414"/>
    <d v="2024-01-23T00:00:00"/>
    <s v="CUST036"/>
    <s v="South"/>
    <x v="4"/>
    <n v="3"/>
    <n v="916"/>
    <x v="388"/>
  </r>
  <r>
    <s v="ORD00415"/>
    <d v="2024-05-31T00:00:00"/>
    <s v="CUST093"/>
    <s v="North"/>
    <x v="3"/>
    <n v="5"/>
    <n v="1134"/>
    <x v="389"/>
  </r>
  <r>
    <s v="ORD00416"/>
    <d v="2024-08-31T00:00:00"/>
    <s v="CUST180"/>
    <s v="East"/>
    <x v="2"/>
    <n v="4"/>
    <n v="682"/>
    <x v="390"/>
  </r>
  <r>
    <s v="ORD00417"/>
    <d v="2024-10-13T00:00:00"/>
    <s v="CUST030"/>
    <s v="East"/>
    <x v="4"/>
    <n v="4"/>
    <n v="273"/>
    <x v="391"/>
  </r>
  <r>
    <s v="ORD00418"/>
    <d v="2024-07-19T00:00:00"/>
    <s v="CUST055"/>
    <s v="East"/>
    <x v="4"/>
    <n v="4"/>
    <n v="143"/>
    <x v="36"/>
  </r>
  <r>
    <s v="ORD00419"/>
    <d v="2024-01-21T00:00:00"/>
    <s v="CUST186"/>
    <s v="West"/>
    <x v="0"/>
    <n v="5"/>
    <n v="474"/>
    <x v="392"/>
  </r>
  <r>
    <s v="ORD00420"/>
    <d v="2023-07-16T00:00:00"/>
    <s v="CUST220"/>
    <s v="East"/>
    <x v="4"/>
    <n v="4"/>
    <n v="989"/>
    <x v="393"/>
  </r>
  <r>
    <s v="ORD00421"/>
    <d v="2024-11-04T00:00:00"/>
    <s v="CUST164"/>
    <s v="East"/>
    <x v="0"/>
    <n v="3"/>
    <n v="252"/>
    <x v="394"/>
  </r>
  <r>
    <s v="ORD00422"/>
    <d v="2023-09-14T00:00:00"/>
    <s v="CUST089"/>
    <s v="North"/>
    <x v="3"/>
    <n v="3"/>
    <n v="103"/>
    <x v="395"/>
  </r>
  <r>
    <s v="ORD00423"/>
    <d v="2023-05-20T00:00:00"/>
    <s v="CUST216"/>
    <s v="North"/>
    <x v="3"/>
    <n v="4"/>
    <n v="897"/>
    <x v="396"/>
  </r>
  <r>
    <s v="ORD00424"/>
    <d v="2024-03-17T00:00:00"/>
    <s v="CUST109"/>
    <s v="East"/>
    <x v="3"/>
    <n v="4"/>
    <n v="1063"/>
    <x v="397"/>
  </r>
  <r>
    <s v="ORD00425"/>
    <d v="2023-10-22T00:00:00"/>
    <s v="CUST010"/>
    <s v="East"/>
    <x v="2"/>
    <n v="2"/>
    <n v="819"/>
    <x v="398"/>
  </r>
  <r>
    <s v="ORD00426"/>
    <d v="2024-11-12T00:00:00"/>
    <s v="CUST159"/>
    <s v="North"/>
    <x v="2"/>
    <n v="4"/>
    <n v="598"/>
    <x v="399"/>
  </r>
  <r>
    <s v="ORD00427"/>
    <d v="2024-06-21T00:00:00"/>
    <s v="CUST170"/>
    <s v="East"/>
    <x v="3"/>
    <n v="5"/>
    <n v="707"/>
    <x v="400"/>
  </r>
  <r>
    <s v="ORD00428"/>
    <d v="2024-03-31T00:00:00"/>
    <s v="CUST250"/>
    <s v="North"/>
    <x v="0"/>
    <n v="4"/>
    <n v="932"/>
    <x v="401"/>
  </r>
  <r>
    <s v="ORD00429"/>
    <d v="2023-04-27T00:00:00"/>
    <s v="CUST190"/>
    <s v="South"/>
    <x v="0"/>
    <n v="2"/>
    <n v="645"/>
    <x v="363"/>
  </r>
  <r>
    <s v="ORD00430"/>
    <d v="2024-04-28T00:00:00"/>
    <s v="CUST219"/>
    <s v="South"/>
    <x v="0"/>
    <n v="4"/>
    <n v="816"/>
    <x v="402"/>
  </r>
  <r>
    <s v="ORD00431"/>
    <d v="2024-08-16T00:00:00"/>
    <s v="CUST035"/>
    <s v="North"/>
    <x v="4"/>
    <n v="3"/>
    <n v="594"/>
    <x v="403"/>
  </r>
  <r>
    <s v="ORD00432"/>
    <d v="2023-08-13T00:00:00"/>
    <s v="CUST038"/>
    <s v="South"/>
    <x v="4"/>
    <n v="5"/>
    <n v="786"/>
    <x v="404"/>
  </r>
  <r>
    <s v="ORD00433"/>
    <d v="2024-11-21T00:00:00"/>
    <s v="CUST047"/>
    <s v="West"/>
    <x v="3"/>
    <n v="2"/>
    <n v="202"/>
    <x v="230"/>
  </r>
  <r>
    <s v="ORD00434"/>
    <d v="2024-09-14T00:00:00"/>
    <s v="CUST005"/>
    <s v="North"/>
    <x v="3"/>
    <n v="4"/>
    <n v="902"/>
    <x v="405"/>
  </r>
  <r>
    <s v="ORD00435"/>
    <d v="2024-11-22T00:00:00"/>
    <s v="CUST151"/>
    <s v="South"/>
    <x v="4"/>
    <n v="2"/>
    <n v="343"/>
    <x v="406"/>
  </r>
  <r>
    <s v="ORD00436"/>
    <d v="2023-11-20T00:00:00"/>
    <s v="CUST297"/>
    <s v="North"/>
    <x v="1"/>
    <n v="1"/>
    <n v="1119"/>
    <x v="407"/>
  </r>
  <r>
    <s v="ORD00437"/>
    <d v="2023-11-18T00:00:00"/>
    <s v="CUST298"/>
    <s v="East"/>
    <x v="0"/>
    <n v="4"/>
    <n v="669"/>
    <x v="408"/>
  </r>
  <r>
    <s v="ORD00438"/>
    <d v="2023-02-20T00:00:00"/>
    <s v="CUST175"/>
    <s v="North"/>
    <x v="2"/>
    <n v="1"/>
    <n v="976"/>
    <x v="409"/>
  </r>
  <r>
    <s v="ORD00439"/>
    <d v="2023-12-20T00:00:00"/>
    <s v="CUST234"/>
    <s v="North"/>
    <x v="3"/>
    <n v="2"/>
    <n v="129"/>
    <x v="410"/>
  </r>
  <r>
    <s v="ORD00440"/>
    <d v="2024-01-30T00:00:00"/>
    <s v="CUST171"/>
    <s v="South"/>
    <x v="0"/>
    <n v="5"/>
    <n v="475"/>
    <x v="411"/>
  </r>
  <r>
    <s v="ORD00441"/>
    <d v="2024-03-01T00:00:00"/>
    <s v="CUST294"/>
    <s v="West"/>
    <x v="2"/>
    <n v="4"/>
    <n v="442"/>
    <x v="412"/>
  </r>
  <r>
    <s v="ORD00442"/>
    <d v="2024-03-18T00:00:00"/>
    <s v="CUST143"/>
    <s v="North"/>
    <x v="3"/>
    <n v="2"/>
    <n v="1043"/>
    <x v="413"/>
  </r>
  <r>
    <s v="ORD00443"/>
    <d v="2024-09-07T00:00:00"/>
    <s v="CUST250"/>
    <s v="East"/>
    <x v="1"/>
    <n v="1"/>
    <n v="440"/>
    <x v="414"/>
  </r>
  <r>
    <s v="ORD00444"/>
    <d v="2024-06-03T00:00:00"/>
    <s v="CUST011"/>
    <s v="West"/>
    <x v="2"/>
    <n v="4"/>
    <n v="840"/>
    <x v="348"/>
  </r>
  <r>
    <s v="ORD00445"/>
    <d v="2024-08-30T00:00:00"/>
    <s v="CUST132"/>
    <s v="West"/>
    <x v="3"/>
    <n v="3"/>
    <n v="658"/>
    <x v="415"/>
  </r>
  <r>
    <s v="ORD00446"/>
    <d v="2023-07-04T00:00:00"/>
    <s v="CUST168"/>
    <s v="West"/>
    <x v="2"/>
    <n v="1"/>
    <n v="639"/>
    <x v="351"/>
  </r>
  <r>
    <s v="ORD00447"/>
    <d v="2024-04-09T00:00:00"/>
    <s v="CUST236"/>
    <s v="South"/>
    <x v="3"/>
    <n v="5"/>
    <n v="231"/>
    <x v="416"/>
  </r>
  <r>
    <s v="ORD00448"/>
    <d v="2023-04-10T00:00:00"/>
    <s v="CUST212"/>
    <s v="South"/>
    <x v="0"/>
    <n v="2"/>
    <n v="332"/>
    <x v="349"/>
  </r>
  <r>
    <s v="ORD00449"/>
    <d v="2024-02-11T00:00:00"/>
    <s v="CUST265"/>
    <s v="North"/>
    <x v="4"/>
    <n v="3"/>
    <n v="991"/>
    <x v="417"/>
  </r>
  <r>
    <s v="ORD00450"/>
    <d v="2023-06-04T00:00:00"/>
    <s v="CUST154"/>
    <s v="North"/>
    <x v="3"/>
    <n v="1"/>
    <n v="1124"/>
    <x v="418"/>
  </r>
  <r>
    <s v="ORD00451"/>
    <d v="2023-09-14T00:00:00"/>
    <s v="CUST196"/>
    <s v="East"/>
    <x v="3"/>
    <n v="3"/>
    <n v="525"/>
    <x v="22"/>
  </r>
  <r>
    <s v="ORD00452"/>
    <d v="2023-01-09T00:00:00"/>
    <s v="CUST300"/>
    <s v="East"/>
    <x v="3"/>
    <n v="3"/>
    <n v="792"/>
    <x v="252"/>
  </r>
  <r>
    <s v="ORD00453"/>
    <d v="2023-07-15T00:00:00"/>
    <s v="CUST112"/>
    <s v="East"/>
    <x v="4"/>
    <n v="1"/>
    <n v="489"/>
    <x v="419"/>
  </r>
  <r>
    <s v="ORD00454"/>
    <d v="2023-09-27T00:00:00"/>
    <s v="CUST155"/>
    <s v="East"/>
    <x v="4"/>
    <n v="2"/>
    <n v="376"/>
    <x v="420"/>
  </r>
  <r>
    <s v="ORD00455"/>
    <d v="2024-10-15T00:00:00"/>
    <s v="CUST247"/>
    <s v="East"/>
    <x v="2"/>
    <n v="1"/>
    <n v="1103"/>
    <x v="421"/>
  </r>
  <r>
    <s v="ORD00456"/>
    <d v="2023-12-01T00:00:00"/>
    <s v="CUST277"/>
    <s v="South"/>
    <x v="2"/>
    <n v="1"/>
    <n v="249"/>
    <x v="422"/>
  </r>
  <r>
    <s v="ORD00457"/>
    <d v="2024-04-09T00:00:00"/>
    <s v="CUST160"/>
    <s v="East"/>
    <x v="2"/>
    <n v="5"/>
    <n v="409"/>
    <x v="423"/>
  </r>
  <r>
    <s v="ORD00458"/>
    <d v="2024-11-13T00:00:00"/>
    <s v="CUST008"/>
    <s v="South"/>
    <x v="0"/>
    <n v="5"/>
    <n v="227"/>
    <x v="424"/>
  </r>
  <r>
    <s v="ORD00459"/>
    <d v="2024-07-31T00:00:00"/>
    <s v="CUST076"/>
    <s v="West"/>
    <x v="1"/>
    <n v="5"/>
    <n v="118"/>
    <x v="127"/>
  </r>
  <r>
    <s v="ORD00460"/>
    <d v="2023-08-28T00:00:00"/>
    <s v="CUST122"/>
    <s v="South"/>
    <x v="2"/>
    <n v="5"/>
    <n v="677"/>
    <x v="425"/>
  </r>
  <r>
    <s v="ORD00461"/>
    <d v="2023-08-14T00:00:00"/>
    <s v="CUST262"/>
    <s v="South"/>
    <x v="2"/>
    <n v="4"/>
    <n v="311"/>
    <x v="426"/>
  </r>
  <r>
    <s v="ORD00462"/>
    <d v="2024-11-21T00:00:00"/>
    <s v="CUST021"/>
    <s v="West"/>
    <x v="3"/>
    <n v="3"/>
    <n v="685"/>
    <x v="427"/>
  </r>
  <r>
    <s v="ORD00463"/>
    <d v="2023-10-07T00:00:00"/>
    <s v="CUST273"/>
    <s v="North"/>
    <x v="4"/>
    <n v="2"/>
    <n v="147"/>
    <x v="428"/>
  </r>
  <r>
    <s v="ORD00464"/>
    <d v="2024-04-06T00:00:00"/>
    <s v="CUST105"/>
    <s v="West"/>
    <x v="0"/>
    <n v="5"/>
    <n v="1151"/>
    <x v="429"/>
  </r>
  <r>
    <s v="ORD00465"/>
    <d v="2023-11-29T00:00:00"/>
    <s v="CUST049"/>
    <s v="South"/>
    <x v="2"/>
    <n v="3"/>
    <n v="412"/>
    <x v="66"/>
  </r>
  <r>
    <s v="ORD00466"/>
    <d v="2023-04-05T00:00:00"/>
    <s v="CUST194"/>
    <s v="South"/>
    <x v="2"/>
    <n v="3"/>
    <n v="777"/>
    <x v="430"/>
  </r>
  <r>
    <s v="ORD00467"/>
    <d v="2023-03-15T00:00:00"/>
    <s v="CUST167"/>
    <s v="East"/>
    <x v="1"/>
    <n v="4"/>
    <n v="443"/>
    <x v="0"/>
  </r>
  <r>
    <s v="ORD00468"/>
    <d v="2024-03-13T00:00:00"/>
    <s v="CUST020"/>
    <s v="South"/>
    <x v="4"/>
    <n v="5"/>
    <n v="743"/>
    <x v="431"/>
  </r>
  <r>
    <s v="ORD00469"/>
    <d v="2023-11-04T00:00:00"/>
    <s v="CUST164"/>
    <s v="West"/>
    <x v="0"/>
    <n v="1"/>
    <n v="844"/>
    <x v="432"/>
  </r>
  <r>
    <s v="ORD00470"/>
    <d v="2023-09-12T00:00:00"/>
    <s v="CUST046"/>
    <s v="North"/>
    <x v="1"/>
    <n v="2"/>
    <n v="1114"/>
    <x v="433"/>
  </r>
  <r>
    <s v="ORD00471"/>
    <d v="2023-05-20T00:00:00"/>
    <s v="CUST255"/>
    <s v="North"/>
    <x v="2"/>
    <n v="1"/>
    <n v="505"/>
    <x v="434"/>
  </r>
  <r>
    <s v="ORD00472"/>
    <d v="2023-10-26T00:00:00"/>
    <s v="CUST070"/>
    <s v="North"/>
    <x v="4"/>
    <n v="4"/>
    <n v="466"/>
    <x v="435"/>
  </r>
  <r>
    <s v="ORD00473"/>
    <d v="2024-02-11T00:00:00"/>
    <s v="CUST288"/>
    <s v="North"/>
    <x v="4"/>
    <n v="5"/>
    <n v="540"/>
    <x v="296"/>
  </r>
  <r>
    <s v="ORD00474"/>
    <d v="2023-08-26T00:00:00"/>
    <s v="CUST279"/>
    <s v="South"/>
    <x v="2"/>
    <n v="5"/>
    <n v="792"/>
    <x v="436"/>
  </r>
  <r>
    <s v="ORD00475"/>
    <d v="2023-05-16T00:00:00"/>
    <s v="CUST117"/>
    <s v="East"/>
    <x v="1"/>
    <n v="1"/>
    <n v="280"/>
    <x v="437"/>
  </r>
  <r>
    <s v="ORD00476"/>
    <d v="2024-02-09T00:00:00"/>
    <s v="CUST190"/>
    <s v="North"/>
    <x v="2"/>
    <n v="1"/>
    <n v="100"/>
    <x v="438"/>
  </r>
  <r>
    <s v="ORD00477"/>
    <d v="2023-03-27T00:00:00"/>
    <s v="CUST105"/>
    <s v="West"/>
    <x v="1"/>
    <n v="5"/>
    <n v="629"/>
    <x v="439"/>
  </r>
  <r>
    <s v="ORD00478"/>
    <d v="2023-08-19T00:00:00"/>
    <s v="CUST030"/>
    <s v="East"/>
    <x v="0"/>
    <n v="3"/>
    <n v="701"/>
    <x v="440"/>
  </r>
  <r>
    <s v="ORD00479"/>
    <d v="2023-10-11T00:00:00"/>
    <s v="CUST101"/>
    <s v="East"/>
    <x v="3"/>
    <n v="5"/>
    <n v="145"/>
    <x v="441"/>
  </r>
  <r>
    <s v="ORD00480"/>
    <d v="2023-09-30T00:00:00"/>
    <s v="CUST059"/>
    <s v="North"/>
    <x v="2"/>
    <n v="5"/>
    <n v="412"/>
    <x v="442"/>
  </r>
  <r>
    <s v="ORD00481"/>
    <d v="2023-05-10T00:00:00"/>
    <s v="CUST160"/>
    <s v="West"/>
    <x v="0"/>
    <n v="1"/>
    <n v="531"/>
    <x v="443"/>
  </r>
  <r>
    <s v="ORD00482"/>
    <d v="2023-02-14T00:00:00"/>
    <s v="CUST199"/>
    <s v="East"/>
    <x v="0"/>
    <n v="5"/>
    <n v="603"/>
    <x v="444"/>
  </r>
  <r>
    <s v="ORD00483"/>
    <d v="2024-09-07T00:00:00"/>
    <s v="CUST252"/>
    <s v="North"/>
    <x v="0"/>
    <n v="4"/>
    <n v="1149"/>
    <x v="445"/>
  </r>
  <r>
    <s v="ORD00484"/>
    <d v="2023-09-27T00:00:00"/>
    <s v="CUST250"/>
    <s v="West"/>
    <x v="2"/>
    <n v="5"/>
    <n v="1183"/>
    <x v="147"/>
  </r>
  <r>
    <s v="ORD00485"/>
    <d v="2023-12-13T00:00:00"/>
    <s v="CUST281"/>
    <s v="North"/>
    <x v="4"/>
    <n v="4"/>
    <n v="698"/>
    <x v="446"/>
  </r>
  <r>
    <s v="ORD00486"/>
    <d v="2024-11-20T00:00:00"/>
    <s v="CUST036"/>
    <s v="South"/>
    <x v="1"/>
    <n v="4"/>
    <n v="168"/>
    <x v="447"/>
  </r>
  <r>
    <s v="ORD00487"/>
    <d v="2024-04-22T00:00:00"/>
    <s v="CUST059"/>
    <s v="East"/>
    <x v="3"/>
    <n v="5"/>
    <n v="443"/>
    <x v="448"/>
  </r>
  <r>
    <s v="ORD00488"/>
    <d v="2024-06-08T00:00:00"/>
    <s v="CUST122"/>
    <s v="North"/>
    <x v="4"/>
    <n v="5"/>
    <n v="1153"/>
    <x v="449"/>
  </r>
  <r>
    <s v="ORD00489"/>
    <d v="2024-08-04T00:00:00"/>
    <s v="CUST098"/>
    <s v="North"/>
    <x v="2"/>
    <n v="1"/>
    <n v="1019"/>
    <x v="450"/>
  </r>
  <r>
    <s v="ORD00490"/>
    <d v="2023-05-16T00:00:00"/>
    <s v="CUST158"/>
    <s v="West"/>
    <x v="1"/>
    <n v="1"/>
    <n v="679"/>
    <x v="451"/>
  </r>
  <r>
    <s v="ORD00491"/>
    <d v="2024-06-20T00:00:00"/>
    <s v="CUST167"/>
    <s v="South"/>
    <x v="3"/>
    <n v="3"/>
    <n v="235"/>
    <x v="452"/>
  </r>
  <r>
    <s v="ORD00492"/>
    <d v="2024-04-28T00:00:00"/>
    <s v="CUST250"/>
    <s v="West"/>
    <x v="0"/>
    <n v="3"/>
    <n v="1116"/>
    <x v="34"/>
  </r>
  <r>
    <s v="ORD00493"/>
    <d v="2024-10-26T00:00:00"/>
    <s v="CUST232"/>
    <s v="North"/>
    <x v="3"/>
    <n v="5"/>
    <n v="1060"/>
    <x v="453"/>
  </r>
  <r>
    <s v="ORD00494"/>
    <d v="2023-11-04T00:00:00"/>
    <s v="CUST105"/>
    <s v="East"/>
    <x v="1"/>
    <n v="3"/>
    <n v="718"/>
    <x v="454"/>
  </r>
  <r>
    <s v="ORD00495"/>
    <d v="2023-09-01T00:00:00"/>
    <s v="CUST112"/>
    <s v="South"/>
    <x v="1"/>
    <n v="3"/>
    <n v="713"/>
    <x v="455"/>
  </r>
  <r>
    <s v="ORD00496"/>
    <d v="2024-03-17T00:00:00"/>
    <s v="CUST299"/>
    <s v="North"/>
    <x v="2"/>
    <n v="4"/>
    <n v="1049"/>
    <x v="456"/>
  </r>
  <r>
    <s v="ORD00497"/>
    <d v="2024-09-17T00:00:00"/>
    <s v="CUST087"/>
    <s v="South"/>
    <x v="0"/>
    <n v="1"/>
    <n v="1112"/>
    <x v="457"/>
  </r>
  <r>
    <s v="ORD00498"/>
    <d v="2024-07-01T00:00:00"/>
    <s v="CUST006"/>
    <s v="West"/>
    <x v="3"/>
    <n v="1"/>
    <n v="1194"/>
    <x v="133"/>
  </r>
  <r>
    <s v="ORD00499"/>
    <d v="2024-01-17T00:00:00"/>
    <s v="CUST142"/>
    <s v="South"/>
    <x v="2"/>
    <n v="5"/>
    <n v="857"/>
    <x v="458"/>
  </r>
  <r>
    <s v="ORD00500"/>
    <d v="2024-11-29T00:00:00"/>
    <s v="CUST083"/>
    <s v="East"/>
    <x v="2"/>
    <n v="1"/>
    <n v="443"/>
    <x v="459"/>
  </r>
  <r>
    <s v="ORD00501"/>
    <d v="2024-10-08T00:00:00"/>
    <s v="CUST121"/>
    <s v="West"/>
    <x v="0"/>
    <n v="1"/>
    <n v="179"/>
    <x v="460"/>
  </r>
  <r>
    <s v="ORD00502"/>
    <d v="2023-01-23T00:00:00"/>
    <s v="CUST129"/>
    <s v="East"/>
    <x v="0"/>
    <n v="4"/>
    <n v="1092"/>
    <x v="461"/>
  </r>
  <r>
    <s v="ORD00503"/>
    <d v="2023-06-01T00:00:00"/>
    <s v="CUST205"/>
    <s v="North"/>
    <x v="2"/>
    <n v="5"/>
    <n v="988"/>
    <x v="462"/>
  </r>
  <r>
    <s v="ORD00504"/>
    <d v="2023-11-09T00:00:00"/>
    <s v="CUST153"/>
    <s v="North"/>
    <x v="0"/>
    <n v="4"/>
    <n v="340"/>
    <x v="463"/>
  </r>
  <r>
    <s v="ORD00505"/>
    <d v="2023-05-09T00:00:00"/>
    <s v="CUST053"/>
    <s v="South"/>
    <x v="1"/>
    <n v="1"/>
    <n v="209"/>
    <x v="464"/>
  </r>
  <r>
    <s v="ORD00506"/>
    <d v="2024-08-28T00:00:00"/>
    <s v="CUST120"/>
    <s v="North"/>
    <x v="0"/>
    <n v="5"/>
    <n v="302"/>
    <x v="465"/>
  </r>
  <r>
    <s v="ORD00507"/>
    <d v="2023-11-22T00:00:00"/>
    <s v="CUST191"/>
    <s v="North"/>
    <x v="1"/>
    <n v="3"/>
    <n v="604"/>
    <x v="269"/>
  </r>
  <r>
    <s v="ORD00508"/>
    <d v="2023-06-02T00:00:00"/>
    <s v="CUST029"/>
    <s v="West"/>
    <x v="1"/>
    <n v="2"/>
    <n v="956"/>
    <x v="280"/>
  </r>
  <r>
    <s v="ORD00509"/>
    <d v="2023-12-04T00:00:00"/>
    <s v="CUST167"/>
    <s v="South"/>
    <x v="2"/>
    <n v="3"/>
    <n v="497"/>
    <x v="466"/>
  </r>
  <r>
    <s v="ORD00510"/>
    <d v="2024-10-10T00:00:00"/>
    <s v="CUST026"/>
    <s v="East"/>
    <x v="2"/>
    <n v="5"/>
    <n v="829"/>
    <x v="467"/>
  </r>
  <r>
    <s v="ORD00511"/>
    <d v="2023-12-18T00:00:00"/>
    <s v="CUST089"/>
    <s v="West"/>
    <x v="0"/>
    <n v="5"/>
    <n v="868"/>
    <x v="468"/>
  </r>
  <r>
    <s v="ORD00512"/>
    <d v="2023-11-26T00:00:00"/>
    <s v="CUST048"/>
    <s v="South"/>
    <x v="3"/>
    <n v="5"/>
    <n v="520"/>
    <x v="469"/>
  </r>
  <r>
    <s v="ORD00513"/>
    <d v="2024-06-23T00:00:00"/>
    <s v="CUST127"/>
    <s v="West"/>
    <x v="4"/>
    <n v="2"/>
    <n v="404"/>
    <x v="470"/>
  </r>
  <r>
    <s v="ORD00514"/>
    <d v="2023-05-04T00:00:00"/>
    <s v="CUST109"/>
    <s v="North"/>
    <x v="1"/>
    <n v="3"/>
    <n v="188"/>
    <x v="97"/>
  </r>
  <r>
    <s v="ORD00515"/>
    <d v="2023-04-03T00:00:00"/>
    <s v="CUST173"/>
    <s v="West"/>
    <x v="0"/>
    <n v="4"/>
    <n v="595"/>
    <x v="471"/>
  </r>
  <r>
    <s v="ORD00516"/>
    <d v="2023-09-26T00:00:00"/>
    <s v="CUST087"/>
    <s v="East"/>
    <x v="0"/>
    <n v="1"/>
    <n v="403"/>
    <x v="472"/>
  </r>
  <r>
    <s v="ORD00517"/>
    <d v="2024-07-19T00:00:00"/>
    <s v="CUST219"/>
    <s v="North"/>
    <x v="4"/>
    <n v="1"/>
    <n v="486"/>
    <x v="473"/>
  </r>
  <r>
    <s v="ORD00518"/>
    <d v="2024-07-04T00:00:00"/>
    <s v="CUST055"/>
    <s v="North"/>
    <x v="1"/>
    <n v="5"/>
    <n v="464"/>
    <x v="271"/>
  </r>
  <r>
    <s v="ORD00519"/>
    <d v="2023-05-24T00:00:00"/>
    <s v="CUST283"/>
    <s v="North"/>
    <x v="2"/>
    <n v="4"/>
    <n v="1047"/>
    <x v="474"/>
  </r>
  <r>
    <s v="ORD00520"/>
    <d v="2023-10-11T00:00:00"/>
    <s v="CUST137"/>
    <s v="North"/>
    <x v="3"/>
    <n v="2"/>
    <n v="600"/>
    <x v="475"/>
  </r>
  <r>
    <s v="ORD00521"/>
    <d v="2024-09-18T00:00:00"/>
    <s v="CUST261"/>
    <s v="West"/>
    <x v="2"/>
    <n v="4"/>
    <n v="289"/>
    <x v="476"/>
  </r>
  <r>
    <s v="ORD00522"/>
    <d v="2023-01-24T00:00:00"/>
    <s v="CUST069"/>
    <s v="East"/>
    <x v="2"/>
    <n v="1"/>
    <n v="1016"/>
    <x v="477"/>
  </r>
  <r>
    <s v="ORD00523"/>
    <d v="2024-03-22T00:00:00"/>
    <s v="CUST146"/>
    <s v="East"/>
    <x v="3"/>
    <n v="5"/>
    <n v="978"/>
    <x v="478"/>
  </r>
  <r>
    <s v="ORD00524"/>
    <d v="2023-07-17T00:00:00"/>
    <s v="CUST073"/>
    <s v="East"/>
    <x v="3"/>
    <n v="1"/>
    <n v="790"/>
    <x v="479"/>
  </r>
  <r>
    <s v="ORD00525"/>
    <d v="2024-02-01T00:00:00"/>
    <s v="CUST072"/>
    <s v="East"/>
    <x v="3"/>
    <n v="3"/>
    <n v="590"/>
    <x v="480"/>
  </r>
  <r>
    <s v="ORD00526"/>
    <d v="2023-07-23T00:00:00"/>
    <s v="CUST173"/>
    <s v="South"/>
    <x v="4"/>
    <n v="5"/>
    <n v="573"/>
    <x v="481"/>
  </r>
  <r>
    <s v="ORD00527"/>
    <d v="2023-09-17T00:00:00"/>
    <s v="CUST233"/>
    <s v="South"/>
    <x v="2"/>
    <n v="4"/>
    <n v="842"/>
    <x v="482"/>
  </r>
  <r>
    <s v="ORD00528"/>
    <d v="2023-11-10T00:00:00"/>
    <s v="CUST039"/>
    <s v="North"/>
    <x v="4"/>
    <n v="5"/>
    <n v="1002"/>
    <x v="483"/>
  </r>
  <r>
    <s v="ORD00529"/>
    <d v="2023-11-30T00:00:00"/>
    <s v="CUST138"/>
    <s v="North"/>
    <x v="3"/>
    <n v="1"/>
    <n v="1032"/>
    <x v="484"/>
  </r>
  <r>
    <s v="ORD00530"/>
    <d v="2023-01-07T00:00:00"/>
    <s v="CUST222"/>
    <s v="North"/>
    <x v="2"/>
    <n v="4"/>
    <n v="1149"/>
    <x v="445"/>
  </r>
  <r>
    <s v="ORD00531"/>
    <d v="2023-10-30T00:00:00"/>
    <s v="CUST121"/>
    <s v="East"/>
    <x v="1"/>
    <n v="1"/>
    <n v="194"/>
    <x v="485"/>
  </r>
  <r>
    <s v="ORD00532"/>
    <d v="2024-05-16T00:00:00"/>
    <s v="CUST223"/>
    <s v="South"/>
    <x v="1"/>
    <n v="2"/>
    <n v="592"/>
    <x v="486"/>
  </r>
  <r>
    <s v="ORD00533"/>
    <d v="2023-08-15T00:00:00"/>
    <s v="CUST012"/>
    <s v="East"/>
    <x v="1"/>
    <n v="4"/>
    <n v="1098"/>
    <x v="487"/>
  </r>
  <r>
    <s v="ORD00534"/>
    <d v="2024-04-30T00:00:00"/>
    <s v="CUST106"/>
    <s v="North"/>
    <x v="3"/>
    <n v="4"/>
    <n v="227"/>
    <x v="488"/>
  </r>
  <r>
    <s v="ORD00535"/>
    <d v="2023-08-05T00:00:00"/>
    <s v="CUST223"/>
    <s v="North"/>
    <x v="0"/>
    <n v="2"/>
    <n v="937"/>
    <x v="89"/>
  </r>
  <r>
    <s v="ORD00536"/>
    <d v="2024-05-02T00:00:00"/>
    <s v="CUST229"/>
    <s v="South"/>
    <x v="1"/>
    <n v="2"/>
    <n v="852"/>
    <x v="489"/>
  </r>
  <r>
    <s v="ORD00537"/>
    <d v="2023-04-23T00:00:00"/>
    <s v="CUST057"/>
    <s v="West"/>
    <x v="3"/>
    <n v="3"/>
    <n v="428"/>
    <x v="490"/>
  </r>
  <r>
    <s v="ORD00538"/>
    <d v="2023-06-06T00:00:00"/>
    <s v="CUST201"/>
    <s v="North"/>
    <x v="2"/>
    <n v="5"/>
    <n v="382"/>
    <x v="491"/>
  </r>
  <r>
    <s v="ORD00539"/>
    <d v="2024-09-28T00:00:00"/>
    <s v="CUST240"/>
    <s v="East"/>
    <x v="4"/>
    <n v="4"/>
    <n v="1031"/>
    <x v="492"/>
  </r>
  <r>
    <s v="ORD00540"/>
    <d v="2024-10-25T00:00:00"/>
    <s v="CUST253"/>
    <s v="North"/>
    <x v="0"/>
    <n v="1"/>
    <n v="878"/>
    <x v="493"/>
  </r>
  <r>
    <s v="ORD00541"/>
    <d v="2024-07-07T00:00:00"/>
    <s v="CUST267"/>
    <s v="East"/>
    <x v="4"/>
    <n v="1"/>
    <n v="567"/>
    <x v="494"/>
  </r>
  <r>
    <s v="ORD00542"/>
    <d v="2024-06-14T00:00:00"/>
    <s v="CUST053"/>
    <s v="East"/>
    <x v="2"/>
    <n v="1"/>
    <n v="1043"/>
    <x v="495"/>
  </r>
  <r>
    <s v="ORD00543"/>
    <d v="2023-03-13T00:00:00"/>
    <s v="CUST004"/>
    <s v="West"/>
    <x v="0"/>
    <n v="1"/>
    <n v="692"/>
    <x v="496"/>
  </r>
  <r>
    <s v="ORD00544"/>
    <d v="2023-05-01T00:00:00"/>
    <s v="CUST118"/>
    <s v="South"/>
    <x v="2"/>
    <n v="2"/>
    <n v="203"/>
    <x v="185"/>
  </r>
  <r>
    <s v="ORD00545"/>
    <d v="2023-03-23T00:00:00"/>
    <s v="CUST226"/>
    <s v="South"/>
    <x v="0"/>
    <n v="4"/>
    <n v="505"/>
    <x v="155"/>
  </r>
  <r>
    <s v="ORD00546"/>
    <d v="2023-05-06T00:00:00"/>
    <s v="CUST075"/>
    <s v="South"/>
    <x v="4"/>
    <n v="2"/>
    <n v="942"/>
    <x v="497"/>
  </r>
  <r>
    <s v="ORD00547"/>
    <d v="2024-05-13T00:00:00"/>
    <s v="CUST055"/>
    <s v="South"/>
    <x v="4"/>
    <n v="2"/>
    <n v="1091"/>
    <x v="498"/>
  </r>
  <r>
    <s v="ORD00548"/>
    <d v="2023-10-19T00:00:00"/>
    <s v="CUST236"/>
    <s v="North"/>
    <x v="2"/>
    <n v="5"/>
    <n v="243"/>
    <x v="499"/>
  </r>
  <r>
    <s v="ORD00549"/>
    <d v="2023-07-19T00:00:00"/>
    <s v="CUST173"/>
    <s v="North"/>
    <x v="2"/>
    <n v="4"/>
    <n v="234"/>
    <x v="500"/>
  </r>
  <r>
    <s v="ORD00550"/>
    <d v="2023-01-20T00:00:00"/>
    <s v="CUST014"/>
    <s v="East"/>
    <x v="4"/>
    <n v="5"/>
    <n v="1166"/>
    <x v="501"/>
  </r>
  <r>
    <s v="ORD00551"/>
    <d v="2024-09-19T00:00:00"/>
    <s v="CUST193"/>
    <s v="West"/>
    <x v="1"/>
    <n v="1"/>
    <n v="863"/>
    <x v="502"/>
  </r>
  <r>
    <s v="ORD00552"/>
    <d v="2023-04-11T00:00:00"/>
    <s v="CUST263"/>
    <s v="South"/>
    <x v="1"/>
    <n v="3"/>
    <n v="1122"/>
    <x v="503"/>
  </r>
  <r>
    <s v="ORD00553"/>
    <d v="2023-01-29T00:00:00"/>
    <s v="CUST213"/>
    <s v="South"/>
    <x v="2"/>
    <n v="2"/>
    <n v="590"/>
    <x v="504"/>
  </r>
  <r>
    <s v="ORD00554"/>
    <d v="2024-01-31T00:00:00"/>
    <s v="CUST040"/>
    <s v="North"/>
    <x v="0"/>
    <n v="5"/>
    <n v="1196"/>
    <x v="505"/>
  </r>
  <r>
    <s v="ORD00555"/>
    <d v="2023-12-09T00:00:00"/>
    <s v="CUST124"/>
    <s v="North"/>
    <x v="1"/>
    <n v="1"/>
    <n v="804"/>
    <x v="506"/>
  </r>
  <r>
    <s v="ORD00556"/>
    <d v="2024-02-01T00:00:00"/>
    <s v="CUST277"/>
    <s v="North"/>
    <x v="3"/>
    <n v="2"/>
    <n v="1143"/>
    <x v="507"/>
  </r>
  <r>
    <s v="ORD00557"/>
    <d v="2024-01-11T00:00:00"/>
    <s v="CUST152"/>
    <s v="West"/>
    <x v="0"/>
    <n v="3"/>
    <n v="533"/>
    <x v="508"/>
  </r>
  <r>
    <s v="ORD00558"/>
    <d v="2024-04-17T00:00:00"/>
    <s v="CUST280"/>
    <s v="North"/>
    <x v="4"/>
    <n v="1"/>
    <n v="132"/>
    <x v="509"/>
  </r>
  <r>
    <s v="ORD00559"/>
    <d v="2023-03-03T00:00:00"/>
    <s v="CUST253"/>
    <s v="South"/>
    <x v="3"/>
    <n v="1"/>
    <n v="1169"/>
    <x v="510"/>
  </r>
  <r>
    <s v="ORD00560"/>
    <d v="2024-03-16T00:00:00"/>
    <s v="CUST017"/>
    <s v="North"/>
    <x v="4"/>
    <n v="3"/>
    <n v="109"/>
    <x v="511"/>
  </r>
  <r>
    <s v="ORD00561"/>
    <d v="2023-10-20T00:00:00"/>
    <s v="CUST282"/>
    <s v="North"/>
    <x v="3"/>
    <n v="4"/>
    <n v="1195"/>
    <x v="512"/>
  </r>
  <r>
    <s v="ORD00562"/>
    <d v="2024-03-22T00:00:00"/>
    <s v="CUST290"/>
    <s v="West"/>
    <x v="4"/>
    <n v="5"/>
    <n v="353"/>
    <x v="513"/>
  </r>
  <r>
    <s v="ORD00563"/>
    <d v="2024-02-22T00:00:00"/>
    <s v="CUST094"/>
    <s v="East"/>
    <x v="4"/>
    <n v="3"/>
    <n v="789"/>
    <x v="514"/>
  </r>
  <r>
    <s v="ORD00564"/>
    <d v="2024-10-23T00:00:00"/>
    <s v="CUST211"/>
    <s v="North"/>
    <x v="0"/>
    <n v="5"/>
    <n v="506"/>
    <x v="515"/>
  </r>
  <r>
    <s v="ORD00565"/>
    <d v="2023-03-29T00:00:00"/>
    <s v="CUST088"/>
    <s v="South"/>
    <x v="1"/>
    <n v="4"/>
    <n v="1154"/>
    <x v="516"/>
  </r>
  <r>
    <s v="ORD00566"/>
    <d v="2023-05-22T00:00:00"/>
    <s v="CUST151"/>
    <s v="North"/>
    <x v="0"/>
    <n v="4"/>
    <n v="103"/>
    <x v="517"/>
  </r>
  <r>
    <s v="ORD00567"/>
    <d v="2023-05-25T00:00:00"/>
    <s v="CUST091"/>
    <s v="South"/>
    <x v="3"/>
    <n v="1"/>
    <n v="1091"/>
    <x v="518"/>
  </r>
  <r>
    <s v="ORD00568"/>
    <d v="2023-04-22T00:00:00"/>
    <s v="CUST207"/>
    <s v="East"/>
    <x v="0"/>
    <n v="3"/>
    <n v="377"/>
    <x v="519"/>
  </r>
  <r>
    <s v="ORD00569"/>
    <d v="2023-03-08T00:00:00"/>
    <s v="CUST236"/>
    <s v="East"/>
    <x v="2"/>
    <n v="2"/>
    <n v="100"/>
    <x v="520"/>
  </r>
  <r>
    <s v="ORD00570"/>
    <d v="2024-06-25T00:00:00"/>
    <s v="CUST225"/>
    <s v="West"/>
    <x v="3"/>
    <n v="2"/>
    <n v="213"/>
    <x v="521"/>
  </r>
  <r>
    <s v="ORD00571"/>
    <d v="2023-09-12T00:00:00"/>
    <s v="CUST109"/>
    <s v="East"/>
    <x v="2"/>
    <n v="4"/>
    <n v="245"/>
    <x v="522"/>
  </r>
  <r>
    <s v="ORD00572"/>
    <d v="2023-06-28T00:00:00"/>
    <s v="CUST099"/>
    <s v="North"/>
    <x v="0"/>
    <n v="3"/>
    <n v="1032"/>
    <x v="523"/>
  </r>
  <r>
    <s v="ORD00573"/>
    <d v="2023-06-15T00:00:00"/>
    <s v="CUST207"/>
    <s v="South"/>
    <x v="1"/>
    <n v="2"/>
    <n v="358"/>
    <x v="74"/>
  </r>
  <r>
    <s v="ORD00574"/>
    <d v="2024-11-19T00:00:00"/>
    <s v="CUST080"/>
    <s v="East"/>
    <x v="2"/>
    <n v="3"/>
    <n v="166"/>
    <x v="524"/>
  </r>
  <r>
    <s v="ORD00575"/>
    <d v="2024-07-30T00:00:00"/>
    <s v="CUST131"/>
    <s v="North"/>
    <x v="4"/>
    <n v="3"/>
    <n v="164"/>
    <x v="525"/>
  </r>
  <r>
    <s v="ORD00576"/>
    <d v="2023-12-05T00:00:00"/>
    <s v="CUST244"/>
    <s v="South"/>
    <x v="0"/>
    <n v="5"/>
    <n v="297"/>
    <x v="526"/>
  </r>
  <r>
    <s v="ORD00577"/>
    <d v="2023-04-01T00:00:00"/>
    <s v="CUST283"/>
    <s v="South"/>
    <x v="2"/>
    <n v="1"/>
    <n v="895"/>
    <x v="527"/>
  </r>
  <r>
    <s v="ORD00578"/>
    <d v="2023-03-23T00:00:00"/>
    <s v="CUST299"/>
    <s v="South"/>
    <x v="1"/>
    <n v="1"/>
    <n v="978"/>
    <x v="528"/>
  </r>
  <r>
    <s v="ORD00579"/>
    <d v="2023-08-16T00:00:00"/>
    <s v="CUST105"/>
    <s v="North"/>
    <x v="4"/>
    <n v="1"/>
    <n v="640"/>
    <x v="529"/>
  </r>
  <r>
    <s v="ORD00580"/>
    <d v="2023-04-27T00:00:00"/>
    <s v="CUST157"/>
    <s v="South"/>
    <x v="4"/>
    <n v="2"/>
    <n v="996"/>
    <x v="530"/>
  </r>
  <r>
    <s v="ORD00581"/>
    <d v="2023-02-11T00:00:00"/>
    <s v="CUST234"/>
    <s v="West"/>
    <x v="4"/>
    <n v="4"/>
    <n v="1145"/>
    <x v="531"/>
  </r>
  <r>
    <s v="ORD00582"/>
    <d v="2024-10-18T00:00:00"/>
    <s v="CUST105"/>
    <s v="East"/>
    <x v="4"/>
    <n v="5"/>
    <n v="654"/>
    <x v="87"/>
  </r>
  <r>
    <s v="ORD00583"/>
    <d v="2023-04-02T00:00:00"/>
    <s v="CUST049"/>
    <s v="South"/>
    <x v="3"/>
    <n v="3"/>
    <n v="186"/>
    <x v="532"/>
  </r>
  <r>
    <s v="ORD00584"/>
    <d v="2024-02-24T00:00:00"/>
    <s v="CUST248"/>
    <s v="West"/>
    <x v="2"/>
    <n v="2"/>
    <n v="440"/>
    <x v="533"/>
  </r>
  <r>
    <s v="ORD00585"/>
    <d v="2023-08-25T00:00:00"/>
    <s v="CUST164"/>
    <s v="North"/>
    <x v="4"/>
    <n v="4"/>
    <n v="1075"/>
    <x v="69"/>
  </r>
  <r>
    <s v="ORD00586"/>
    <d v="2024-06-24T00:00:00"/>
    <s v="CUST214"/>
    <s v="North"/>
    <x v="4"/>
    <n v="2"/>
    <n v="349"/>
    <x v="534"/>
  </r>
  <r>
    <s v="ORD00587"/>
    <d v="2023-05-07T00:00:00"/>
    <s v="CUST175"/>
    <s v="South"/>
    <x v="1"/>
    <n v="3"/>
    <n v="197"/>
    <x v="535"/>
  </r>
  <r>
    <s v="ORD00588"/>
    <d v="2024-03-15T00:00:00"/>
    <s v="CUST001"/>
    <s v="East"/>
    <x v="0"/>
    <n v="5"/>
    <n v="635"/>
    <x v="536"/>
  </r>
  <r>
    <s v="ORD00589"/>
    <d v="2023-01-22T00:00:00"/>
    <s v="CUST157"/>
    <s v="South"/>
    <x v="0"/>
    <n v="2"/>
    <n v="1084"/>
    <x v="537"/>
  </r>
  <r>
    <s v="ORD00590"/>
    <d v="2023-10-30T00:00:00"/>
    <s v="CUST050"/>
    <s v="South"/>
    <x v="2"/>
    <n v="5"/>
    <n v="813"/>
    <x v="538"/>
  </r>
  <r>
    <s v="ORD00591"/>
    <d v="2023-05-02T00:00:00"/>
    <s v="CUST270"/>
    <s v="North"/>
    <x v="0"/>
    <n v="2"/>
    <n v="846"/>
    <x v="539"/>
  </r>
  <r>
    <s v="ORD00592"/>
    <d v="2024-06-10T00:00:00"/>
    <s v="CUST144"/>
    <s v="West"/>
    <x v="4"/>
    <n v="3"/>
    <n v="286"/>
    <x v="540"/>
  </r>
  <r>
    <s v="ORD00593"/>
    <d v="2024-04-02T00:00:00"/>
    <s v="CUST010"/>
    <s v="West"/>
    <x v="2"/>
    <n v="5"/>
    <n v="126"/>
    <x v="267"/>
  </r>
  <r>
    <s v="ORD00594"/>
    <d v="2024-10-20T00:00:00"/>
    <s v="CUST034"/>
    <s v="West"/>
    <x v="1"/>
    <n v="3"/>
    <n v="642"/>
    <x v="541"/>
  </r>
  <r>
    <s v="ORD00595"/>
    <d v="2024-04-02T00:00:00"/>
    <s v="CUST019"/>
    <s v="South"/>
    <x v="4"/>
    <n v="4"/>
    <n v="170"/>
    <x v="542"/>
  </r>
  <r>
    <s v="ORD00596"/>
    <d v="2023-03-11T00:00:00"/>
    <s v="CUST078"/>
    <s v="East"/>
    <x v="3"/>
    <n v="5"/>
    <n v="674"/>
    <x v="543"/>
  </r>
  <r>
    <s v="ORD00597"/>
    <d v="2024-09-30T00:00:00"/>
    <s v="CUST134"/>
    <s v="South"/>
    <x v="3"/>
    <n v="2"/>
    <n v="610"/>
    <x v="544"/>
  </r>
  <r>
    <s v="ORD00598"/>
    <d v="2024-09-26T00:00:00"/>
    <s v="CUST289"/>
    <s v="South"/>
    <x v="2"/>
    <n v="3"/>
    <n v="812"/>
    <x v="545"/>
  </r>
  <r>
    <s v="ORD00599"/>
    <d v="2023-03-29T00:00:00"/>
    <s v="CUST011"/>
    <s v="South"/>
    <x v="1"/>
    <n v="4"/>
    <n v="704"/>
    <x v="546"/>
  </r>
  <r>
    <s v="ORD00600"/>
    <d v="2024-08-23T00:00:00"/>
    <s v="CUST055"/>
    <s v="South"/>
    <x v="0"/>
    <n v="5"/>
    <n v="320"/>
    <x v="547"/>
  </r>
  <r>
    <s v="ORD00601"/>
    <d v="2023-08-21T00:00:00"/>
    <s v="CUST219"/>
    <s v="West"/>
    <x v="0"/>
    <n v="4"/>
    <n v="1078"/>
    <x v="548"/>
  </r>
  <r>
    <s v="ORD00602"/>
    <d v="2023-09-25T00:00:00"/>
    <s v="CUST094"/>
    <s v="East"/>
    <x v="3"/>
    <n v="1"/>
    <n v="1136"/>
    <x v="549"/>
  </r>
  <r>
    <s v="ORD00603"/>
    <d v="2024-10-28T00:00:00"/>
    <s v="CUST084"/>
    <s v="South"/>
    <x v="0"/>
    <n v="2"/>
    <n v="222"/>
    <x v="550"/>
  </r>
  <r>
    <s v="ORD00604"/>
    <d v="2023-02-21T00:00:00"/>
    <s v="CUST082"/>
    <s v="South"/>
    <x v="4"/>
    <n v="2"/>
    <n v="1032"/>
    <x v="551"/>
  </r>
  <r>
    <s v="ORD00605"/>
    <d v="2024-11-23T00:00:00"/>
    <s v="CUST191"/>
    <s v="North"/>
    <x v="3"/>
    <n v="1"/>
    <n v="781"/>
    <x v="552"/>
  </r>
  <r>
    <s v="ORD00606"/>
    <d v="2023-11-25T00:00:00"/>
    <s v="CUST142"/>
    <s v="East"/>
    <x v="1"/>
    <n v="2"/>
    <n v="921"/>
    <x v="553"/>
  </r>
  <r>
    <s v="ORD00607"/>
    <d v="2023-12-25T00:00:00"/>
    <s v="CUST200"/>
    <s v="East"/>
    <x v="4"/>
    <n v="1"/>
    <n v="545"/>
    <x v="554"/>
  </r>
  <r>
    <s v="ORD00608"/>
    <d v="2023-02-28T00:00:00"/>
    <s v="CUST038"/>
    <s v="South"/>
    <x v="2"/>
    <n v="2"/>
    <n v="103"/>
    <x v="196"/>
  </r>
  <r>
    <s v="ORD00609"/>
    <d v="2024-09-10T00:00:00"/>
    <s v="CUST104"/>
    <s v="East"/>
    <x v="4"/>
    <n v="3"/>
    <n v="1118"/>
    <x v="168"/>
  </r>
  <r>
    <s v="ORD00610"/>
    <d v="2024-08-01T00:00:00"/>
    <s v="CUST126"/>
    <s v="West"/>
    <x v="2"/>
    <n v="3"/>
    <n v="565"/>
    <x v="555"/>
  </r>
  <r>
    <s v="ORD00611"/>
    <d v="2023-04-23T00:00:00"/>
    <s v="CUST260"/>
    <s v="West"/>
    <x v="1"/>
    <n v="4"/>
    <n v="195"/>
    <x v="556"/>
  </r>
  <r>
    <s v="ORD00612"/>
    <d v="2024-02-02T00:00:00"/>
    <s v="CUST079"/>
    <s v="North"/>
    <x v="0"/>
    <n v="1"/>
    <n v="174"/>
    <x v="557"/>
  </r>
  <r>
    <s v="ORD00613"/>
    <d v="2024-05-30T00:00:00"/>
    <s v="CUST122"/>
    <s v="East"/>
    <x v="4"/>
    <n v="4"/>
    <n v="641"/>
    <x v="558"/>
  </r>
  <r>
    <s v="ORD00614"/>
    <d v="2024-01-02T00:00:00"/>
    <s v="CUST230"/>
    <s v="North"/>
    <x v="0"/>
    <n v="3"/>
    <n v="1126"/>
    <x v="559"/>
  </r>
  <r>
    <s v="ORD00615"/>
    <d v="2024-10-29T00:00:00"/>
    <s v="CUST121"/>
    <s v="North"/>
    <x v="2"/>
    <n v="2"/>
    <n v="550"/>
    <x v="560"/>
  </r>
  <r>
    <s v="ORD00616"/>
    <d v="2024-05-23T00:00:00"/>
    <s v="CUST046"/>
    <s v="East"/>
    <x v="4"/>
    <n v="3"/>
    <n v="718"/>
    <x v="454"/>
  </r>
  <r>
    <s v="ORD00617"/>
    <d v="2024-05-11T00:00:00"/>
    <s v="CUST036"/>
    <s v="North"/>
    <x v="4"/>
    <n v="5"/>
    <n v="312"/>
    <x v="35"/>
  </r>
  <r>
    <s v="ORD00618"/>
    <d v="2023-06-20T00:00:00"/>
    <s v="CUST169"/>
    <s v="West"/>
    <x v="4"/>
    <n v="3"/>
    <n v="111"/>
    <x v="561"/>
  </r>
  <r>
    <s v="ORD00619"/>
    <d v="2023-03-25T00:00:00"/>
    <s v="CUST269"/>
    <s v="South"/>
    <x v="3"/>
    <n v="4"/>
    <n v="402"/>
    <x v="562"/>
  </r>
  <r>
    <s v="ORD00620"/>
    <d v="2024-01-13T00:00:00"/>
    <s v="CUST250"/>
    <s v="South"/>
    <x v="2"/>
    <n v="3"/>
    <n v="882"/>
    <x v="563"/>
  </r>
  <r>
    <s v="ORD00621"/>
    <d v="2024-09-07T00:00:00"/>
    <s v="CUST270"/>
    <s v="West"/>
    <x v="4"/>
    <n v="1"/>
    <n v="702"/>
    <x v="564"/>
  </r>
  <r>
    <s v="ORD00622"/>
    <d v="2024-07-15T00:00:00"/>
    <s v="CUST167"/>
    <s v="East"/>
    <x v="4"/>
    <n v="2"/>
    <n v="429"/>
    <x v="540"/>
  </r>
  <r>
    <s v="ORD00623"/>
    <d v="2024-08-30T00:00:00"/>
    <s v="CUST075"/>
    <s v="East"/>
    <x v="2"/>
    <n v="1"/>
    <n v="763"/>
    <x v="565"/>
  </r>
  <r>
    <s v="ORD00624"/>
    <d v="2023-04-15T00:00:00"/>
    <s v="CUST209"/>
    <s v="West"/>
    <x v="1"/>
    <n v="5"/>
    <n v="965"/>
    <x v="566"/>
  </r>
  <r>
    <s v="ORD00625"/>
    <d v="2024-02-10T00:00:00"/>
    <s v="CUST086"/>
    <s v="South"/>
    <x v="3"/>
    <n v="2"/>
    <n v="976"/>
    <x v="567"/>
  </r>
  <r>
    <s v="ORD00626"/>
    <d v="2023-04-20T00:00:00"/>
    <s v="CUST288"/>
    <s v="East"/>
    <x v="0"/>
    <n v="2"/>
    <n v="696"/>
    <x v="568"/>
  </r>
  <r>
    <s v="ORD00627"/>
    <d v="2023-04-29T00:00:00"/>
    <s v="CUST159"/>
    <s v="North"/>
    <x v="1"/>
    <n v="3"/>
    <n v="1048"/>
    <x v="569"/>
  </r>
  <r>
    <s v="ORD00628"/>
    <d v="2023-03-03T00:00:00"/>
    <s v="CUST197"/>
    <s v="South"/>
    <x v="2"/>
    <n v="5"/>
    <n v="1161"/>
    <x v="570"/>
  </r>
  <r>
    <s v="ORD00629"/>
    <d v="2023-05-12T00:00:00"/>
    <s v="CUST008"/>
    <s v="South"/>
    <x v="2"/>
    <n v="5"/>
    <n v="1146"/>
    <x v="571"/>
  </r>
  <r>
    <s v="ORD00630"/>
    <d v="2024-05-22T00:00:00"/>
    <s v="CUST292"/>
    <s v="South"/>
    <x v="1"/>
    <n v="1"/>
    <n v="238"/>
    <x v="231"/>
  </r>
  <r>
    <s v="ORD00631"/>
    <d v="2023-06-05T00:00:00"/>
    <s v="CUST137"/>
    <s v="West"/>
    <x v="1"/>
    <n v="5"/>
    <n v="335"/>
    <x v="263"/>
  </r>
  <r>
    <s v="ORD00632"/>
    <d v="2023-04-24T00:00:00"/>
    <s v="CUST296"/>
    <s v="North"/>
    <x v="2"/>
    <n v="1"/>
    <n v="301"/>
    <x v="572"/>
  </r>
  <r>
    <s v="ORD00633"/>
    <d v="2023-02-08T00:00:00"/>
    <s v="CUST026"/>
    <s v="North"/>
    <x v="3"/>
    <n v="5"/>
    <n v="174"/>
    <x v="573"/>
  </r>
  <r>
    <s v="ORD00634"/>
    <d v="2024-06-07T00:00:00"/>
    <s v="CUST298"/>
    <s v="North"/>
    <x v="4"/>
    <n v="1"/>
    <n v="580"/>
    <x v="126"/>
  </r>
  <r>
    <s v="ORD00635"/>
    <d v="2024-03-23T00:00:00"/>
    <s v="CUST234"/>
    <s v="North"/>
    <x v="2"/>
    <n v="5"/>
    <n v="185"/>
    <x v="574"/>
  </r>
  <r>
    <s v="ORD00636"/>
    <d v="2024-03-15T00:00:00"/>
    <s v="CUST035"/>
    <s v="West"/>
    <x v="0"/>
    <n v="3"/>
    <n v="500"/>
    <x v="575"/>
  </r>
  <r>
    <s v="ORD00637"/>
    <d v="2024-11-25T00:00:00"/>
    <s v="CUST283"/>
    <s v="South"/>
    <x v="4"/>
    <n v="4"/>
    <n v="485"/>
    <x v="347"/>
  </r>
  <r>
    <s v="ORD00638"/>
    <d v="2023-11-19T00:00:00"/>
    <s v="CUST191"/>
    <s v="East"/>
    <x v="1"/>
    <n v="2"/>
    <n v="166"/>
    <x v="576"/>
  </r>
  <r>
    <s v="ORD00639"/>
    <d v="2024-07-27T00:00:00"/>
    <s v="CUST071"/>
    <s v="North"/>
    <x v="0"/>
    <n v="2"/>
    <n v="423"/>
    <x v="577"/>
  </r>
  <r>
    <s v="ORD00640"/>
    <d v="2023-03-25T00:00:00"/>
    <s v="CUST222"/>
    <s v="North"/>
    <x v="4"/>
    <n v="4"/>
    <n v="310"/>
    <x v="578"/>
  </r>
  <r>
    <s v="ORD00641"/>
    <d v="2024-04-02T00:00:00"/>
    <s v="CUST023"/>
    <s v="West"/>
    <x v="2"/>
    <n v="2"/>
    <n v="664"/>
    <x v="579"/>
  </r>
  <r>
    <s v="ORD00642"/>
    <d v="2023-12-01T00:00:00"/>
    <s v="CUST190"/>
    <s v="South"/>
    <x v="2"/>
    <n v="2"/>
    <n v="523"/>
    <x v="580"/>
  </r>
  <r>
    <s v="ORD00643"/>
    <d v="2024-07-25T00:00:00"/>
    <s v="CUST199"/>
    <s v="North"/>
    <x v="4"/>
    <n v="1"/>
    <n v="605"/>
    <x v="581"/>
  </r>
  <r>
    <s v="ORD00644"/>
    <d v="2023-11-12T00:00:00"/>
    <s v="CUST218"/>
    <s v="West"/>
    <x v="0"/>
    <n v="5"/>
    <n v="1028"/>
    <x v="582"/>
  </r>
  <r>
    <s v="ORD00645"/>
    <d v="2023-10-10T00:00:00"/>
    <s v="CUST114"/>
    <s v="East"/>
    <x v="1"/>
    <n v="5"/>
    <n v="748"/>
    <x v="583"/>
  </r>
  <r>
    <s v="ORD00646"/>
    <d v="2024-11-14T00:00:00"/>
    <s v="CUST084"/>
    <s v="West"/>
    <x v="3"/>
    <n v="5"/>
    <n v="134"/>
    <x v="584"/>
  </r>
  <r>
    <s v="ORD00647"/>
    <d v="2024-04-05T00:00:00"/>
    <s v="CUST254"/>
    <s v="East"/>
    <x v="2"/>
    <n v="1"/>
    <n v="417"/>
    <x v="585"/>
  </r>
  <r>
    <s v="ORD00648"/>
    <d v="2023-03-09T00:00:00"/>
    <s v="CUST108"/>
    <s v="South"/>
    <x v="1"/>
    <n v="3"/>
    <n v="303"/>
    <x v="586"/>
  </r>
  <r>
    <s v="ORD00649"/>
    <d v="2024-06-30T00:00:00"/>
    <s v="CUST264"/>
    <s v="East"/>
    <x v="2"/>
    <n v="4"/>
    <n v="439"/>
    <x v="587"/>
  </r>
  <r>
    <s v="ORD00650"/>
    <d v="2023-12-28T00:00:00"/>
    <s v="CUST009"/>
    <s v="East"/>
    <x v="2"/>
    <n v="2"/>
    <n v="1166"/>
    <x v="588"/>
  </r>
  <r>
    <s v="ORD00651"/>
    <d v="2024-06-17T00:00:00"/>
    <s v="CUST014"/>
    <s v="West"/>
    <x v="3"/>
    <n v="2"/>
    <n v="851"/>
    <x v="589"/>
  </r>
  <r>
    <s v="ORD00652"/>
    <d v="2023-04-17T00:00:00"/>
    <s v="CUST160"/>
    <s v="West"/>
    <x v="2"/>
    <n v="1"/>
    <n v="461"/>
    <x v="590"/>
  </r>
  <r>
    <s v="ORD00653"/>
    <d v="2023-09-11T00:00:00"/>
    <s v="CUST017"/>
    <s v="South"/>
    <x v="1"/>
    <n v="3"/>
    <n v="173"/>
    <x v="121"/>
  </r>
  <r>
    <s v="ORD00654"/>
    <d v="2024-05-13T00:00:00"/>
    <s v="CUST273"/>
    <s v="North"/>
    <x v="3"/>
    <n v="3"/>
    <n v="318"/>
    <x v="591"/>
  </r>
  <r>
    <s v="ORD00655"/>
    <d v="2024-08-13T00:00:00"/>
    <s v="CUST257"/>
    <s v="South"/>
    <x v="1"/>
    <n v="3"/>
    <n v="895"/>
    <x v="592"/>
  </r>
  <r>
    <s v="ORD00656"/>
    <d v="2023-04-30T00:00:00"/>
    <s v="CUST061"/>
    <s v="North"/>
    <x v="1"/>
    <n v="3"/>
    <n v="1088"/>
    <x v="402"/>
  </r>
  <r>
    <s v="ORD00657"/>
    <d v="2023-03-12T00:00:00"/>
    <s v="CUST198"/>
    <s v="North"/>
    <x v="3"/>
    <n v="2"/>
    <n v="401"/>
    <x v="593"/>
  </r>
  <r>
    <s v="ORD00658"/>
    <d v="2024-04-29T00:00:00"/>
    <s v="CUST088"/>
    <s v="East"/>
    <x v="1"/>
    <n v="3"/>
    <n v="1001"/>
    <x v="594"/>
  </r>
  <r>
    <s v="ORD00659"/>
    <d v="2024-02-26T00:00:00"/>
    <s v="CUST033"/>
    <s v="West"/>
    <x v="2"/>
    <n v="5"/>
    <n v="1101"/>
    <x v="595"/>
  </r>
  <r>
    <s v="ORD00660"/>
    <d v="2024-04-30T00:00:00"/>
    <s v="CUST296"/>
    <s v="South"/>
    <x v="4"/>
    <n v="2"/>
    <n v="835"/>
    <x v="346"/>
  </r>
  <r>
    <s v="ORD00661"/>
    <d v="2023-03-31T00:00:00"/>
    <s v="CUST018"/>
    <s v="West"/>
    <x v="0"/>
    <n v="1"/>
    <n v="267"/>
    <x v="596"/>
  </r>
  <r>
    <s v="ORD00662"/>
    <d v="2023-07-19T00:00:00"/>
    <s v="CUST178"/>
    <s v="East"/>
    <x v="0"/>
    <n v="2"/>
    <n v="705"/>
    <x v="597"/>
  </r>
  <r>
    <s v="ORD00663"/>
    <d v="2024-06-17T00:00:00"/>
    <s v="CUST198"/>
    <s v="East"/>
    <x v="2"/>
    <n v="5"/>
    <n v="1151"/>
    <x v="429"/>
  </r>
  <r>
    <s v="ORD00664"/>
    <d v="2024-04-11T00:00:00"/>
    <s v="CUST062"/>
    <s v="East"/>
    <x v="1"/>
    <n v="4"/>
    <n v="710"/>
    <x v="598"/>
  </r>
  <r>
    <s v="ORD00665"/>
    <d v="2024-10-29T00:00:00"/>
    <s v="CUST090"/>
    <s v="South"/>
    <x v="1"/>
    <n v="4"/>
    <n v="153"/>
    <x v="220"/>
  </r>
  <r>
    <s v="ORD00666"/>
    <d v="2024-10-08T00:00:00"/>
    <s v="CUST170"/>
    <s v="East"/>
    <x v="3"/>
    <n v="1"/>
    <n v="723"/>
    <x v="218"/>
  </r>
  <r>
    <s v="ORD00667"/>
    <d v="2024-05-12T00:00:00"/>
    <s v="CUST228"/>
    <s v="West"/>
    <x v="4"/>
    <n v="4"/>
    <n v="1138"/>
    <x v="599"/>
  </r>
  <r>
    <s v="ORD00668"/>
    <d v="2023-05-19T00:00:00"/>
    <s v="CUST148"/>
    <s v="East"/>
    <x v="2"/>
    <n v="2"/>
    <n v="506"/>
    <x v="600"/>
  </r>
  <r>
    <s v="ORD00669"/>
    <d v="2023-09-14T00:00:00"/>
    <s v="CUST127"/>
    <s v="South"/>
    <x v="0"/>
    <n v="1"/>
    <n v="131"/>
    <x v="601"/>
  </r>
  <r>
    <s v="ORD00670"/>
    <d v="2023-06-22T00:00:00"/>
    <s v="CUST146"/>
    <s v="South"/>
    <x v="3"/>
    <n v="1"/>
    <n v="1067"/>
    <x v="602"/>
  </r>
  <r>
    <s v="ORD00671"/>
    <d v="2023-08-14T00:00:00"/>
    <s v="CUST183"/>
    <s v="West"/>
    <x v="3"/>
    <n v="3"/>
    <n v="249"/>
    <x v="603"/>
  </r>
  <r>
    <s v="ORD00672"/>
    <d v="2023-11-05T00:00:00"/>
    <s v="CUST117"/>
    <s v="North"/>
    <x v="4"/>
    <n v="2"/>
    <n v="607"/>
    <x v="604"/>
  </r>
  <r>
    <s v="ORD00673"/>
    <d v="2023-07-10T00:00:00"/>
    <s v="CUST037"/>
    <s v="West"/>
    <x v="4"/>
    <n v="1"/>
    <n v="212"/>
    <x v="605"/>
  </r>
  <r>
    <s v="ORD00674"/>
    <d v="2024-01-19T00:00:00"/>
    <s v="CUST280"/>
    <s v="West"/>
    <x v="0"/>
    <n v="5"/>
    <n v="148"/>
    <x v="606"/>
  </r>
  <r>
    <s v="ORD00675"/>
    <d v="2023-11-23T00:00:00"/>
    <s v="CUST160"/>
    <s v="East"/>
    <x v="1"/>
    <n v="4"/>
    <n v="1083"/>
    <x v="607"/>
  </r>
  <r>
    <s v="ORD00676"/>
    <d v="2023-03-10T00:00:00"/>
    <s v="CUST043"/>
    <s v="East"/>
    <x v="3"/>
    <n v="5"/>
    <n v="833"/>
    <x v="608"/>
  </r>
  <r>
    <s v="ORD00677"/>
    <d v="2023-10-19T00:00:00"/>
    <s v="CUST205"/>
    <s v="South"/>
    <x v="1"/>
    <n v="4"/>
    <n v="298"/>
    <x v="609"/>
  </r>
  <r>
    <s v="ORD00678"/>
    <d v="2024-11-08T00:00:00"/>
    <s v="CUST174"/>
    <s v="South"/>
    <x v="2"/>
    <n v="3"/>
    <n v="588"/>
    <x v="241"/>
  </r>
  <r>
    <s v="ORD00679"/>
    <d v="2024-08-02T00:00:00"/>
    <s v="CUST226"/>
    <s v="South"/>
    <x v="0"/>
    <n v="4"/>
    <n v="996"/>
    <x v="610"/>
  </r>
  <r>
    <s v="ORD00680"/>
    <d v="2024-02-20T00:00:00"/>
    <s v="CUST212"/>
    <s v="North"/>
    <x v="4"/>
    <n v="2"/>
    <n v="952"/>
    <x v="611"/>
  </r>
  <r>
    <s v="ORD00681"/>
    <d v="2024-05-21T00:00:00"/>
    <s v="CUST050"/>
    <s v="South"/>
    <x v="0"/>
    <n v="1"/>
    <n v="1193"/>
    <x v="612"/>
  </r>
  <r>
    <s v="ORD00682"/>
    <d v="2024-10-21T00:00:00"/>
    <s v="CUST286"/>
    <s v="South"/>
    <x v="2"/>
    <n v="5"/>
    <n v="482"/>
    <x v="613"/>
  </r>
  <r>
    <s v="ORD00683"/>
    <d v="2023-03-12T00:00:00"/>
    <s v="CUST248"/>
    <s v="South"/>
    <x v="0"/>
    <n v="2"/>
    <n v="727"/>
    <x v="301"/>
  </r>
  <r>
    <s v="ORD00684"/>
    <d v="2023-01-12T00:00:00"/>
    <s v="CUST076"/>
    <s v="North"/>
    <x v="0"/>
    <n v="4"/>
    <n v="956"/>
    <x v="614"/>
  </r>
  <r>
    <s v="ORD00685"/>
    <d v="2024-08-11T00:00:00"/>
    <s v="CUST248"/>
    <s v="East"/>
    <x v="1"/>
    <n v="5"/>
    <n v="1025"/>
    <x v="615"/>
  </r>
  <r>
    <s v="ORD00686"/>
    <d v="2024-03-24T00:00:00"/>
    <s v="CUST264"/>
    <s v="South"/>
    <x v="0"/>
    <n v="3"/>
    <n v="889"/>
    <x v="616"/>
  </r>
  <r>
    <s v="ORD00687"/>
    <d v="2023-11-17T00:00:00"/>
    <s v="CUST236"/>
    <s v="West"/>
    <x v="2"/>
    <n v="1"/>
    <n v="973"/>
    <x v="617"/>
  </r>
  <r>
    <s v="ORD00688"/>
    <d v="2024-04-03T00:00:00"/>
    <s v="CUST221"/>
    <s v="South"/>
    <x v="2"/>
    <n v="2"/>
    <n v="363"/>
    <x v="618"/>
  </r>
  <r>
    <s v="ORD00689"/>
    <d v="2024-02-25T00:00:00"/>
    <s v="CUST242"/>
    <s v="East"/>
    <x v="1"/>
    <n v="3"/>
    <n v="357"/>
    <x v="619"/>
  </r>
  <r>
    <s v="ORD00690"/>
    <d v="2023-04-16T00:00:00"/>
    <s v="CUST201"/>
    <s v="West"/>
    <x v="2"/>
    <n v="3"/>
    <n v="827"/>
    <x v="620"/>
  </r>
  <r>
    <s v="ORD00691"/>
    <d v="2024-01-22T00:00:00"/>
    <s v="CUST035"/>
    <s v="South"/>
    <x v="0"/>
    <n v="5"/>
    <n v="1035"/>
    <x v="621"/>
  </r>
  <r>
    <s v="ORD00692"/>
    <d v="2024-09-26T00:00:00"/>
    <s v="CUST139"/>
    <s v="West"/>
    <x v="0"/>
    <n v="1"/>
    <n v="203"/>
    <x v="622"/>
  </r>
  <r>
    <s v="ORD00693"/>
    <d v="2023-12-31T00:00:00"/>
    <s v="CUST086"/>
    <s v="South"/>
    <x v="1"/>
    <n v="4"/>
    <n v="976"/>
    <x v="623"/>
  </r>
  <r>
    <s v="ORD00694"/>
    <d v="2024-10-01T00:00:00"/>
    <s v="CUST032"/>
    <s v="West"/>
    <x v="4"/>
    <n v="2"/>
    <n v="362"/>
    <x v="624"/>
  </r>
  <r>
    <s v="ORD00695"/>
    <d v="2023-04-05T00:00:00"/>
    <s v="CUST260"/>
    <s v="South"/>
    <x v="2"/>
    <n v="5"/>
    <n v="277"/>
    <x v="625"/>
  </r>
  <r>
    <s v="ORD00696"/>
    <d v="2023-12-05T00:00:00"/>
    <s v="CUST267"/>
    <s v="South"/>
    <x v="2"/>
    <n v="5"/>
    <n v="564"/>
    <x v="626"/>
  </r>
  <r>
    <s v="ORD00697"/>
    <d v="2023-05-17T00:00:00"/>
    <s v="CUST106"/>
    <s v="North"/>
    <x v="3"/>
    <n v="4"/>
    <n v="773"/>
    <x v="627"/>
  </r>
  <r>
    <s v="ORD00698"/>
    <d v="2023-01-09T00:00:00"/>
    <s v="CUST133"/>
    <s v="South"/>
    <x v="0"/>
    <n v="5"/>
    <n v="147"/>
    <x v="628"/>
  </r>
  <r>
    <s v="ORD00699"/>
    <d v="2023-10-28T00:00:00"/>
    <s v="CUST091"/>
    <s v="South"/>
    <x v="1"/>
    <n v="5"/>
    <n v="1006"/>
    <x v="629"/>
  </r>
  <r>
    <s v="ORD00700"/>
    <d v="2024-05-20T00:00:00"/>
    <s v="CUST163"/>
    <s v="South"/>
    <x v="4"/>
    <n v="2"/>
    <n v="679"/>
    <x v="630"/>
  </r>
  <r>
    <s v="ORD00701"/>
    <d v="2023-07-15T00:00:00"/>
    <s v="CUST057"/>
    <s v="South"/>
    <x v="1"/>
    <n v="3"/>
    <n v="758"/>
    <x v="49"/>
  </r>
  <r>
    <s v="ORD00702"/>
    <d v="2024-06-11T00:00:00"/>
    <s v="CUST289"/>
    <s v="East"/>
    <x v="3"/>
    <n v="1"/>
    <n v="963"/>
    <x v="631"/>
  </r>
  <r>
    <s v="ORD00703"/>
    <d v="2024-01-13T00:00:00"/>
    <s v="CUST202"/>
    <s v="West"/>
    <x v="4"/>
    <n v="5"/>
    <n v="315"/>
    <x v="22"/>
  </r>
  <r>
    <s v="ORD00704"/>
    <d v="2023-01-04T00:00:00"/>
    <s v="CUST055"/>
    <s v="North"/>
    <x v="4"/>
    <n v="4"/>
    <n v="144"/>
    <x v="632"/>
  </r>
  <r>
    <s v="ORD00705"/>
    <d v="2023-03-08T00:00:00"/>
    <s v="CUST181"/>
    <s v="East"/>
    <x v="0"/>
    <n v="5"/>
    <n v="1044"/>
    <x v="633"/>
  </r>
  <r>
    <s v="ORD00706"/>
    <d v="2024-09-18T00:00:00"/>
    <s v="CUST283"/>
    <s v="West"/>
    <x v="3"/>
    <n v="1"/>
    <n v="707"/>
    <x v="634"/>
  </r>
  <r>
    <s v="ORD00707"/>
    <d v="2023-02-20T00:00:00"/>
    <s v="CUST192"/>
    <s v="East"/>
    <x v="2"/>
    <n v="3"/>
    <n v="271"/>
    <x v="635"/>
  </r>
  <r>
    <s v="ORD00708"/>
    <d v="2023-10-15T00:00:00"/>
    <s v="CUST271"/>
    <s v="North"/>
    <x v="2"/>
    <n v="3"/>
    <n v="319"/>
    <x v="636"/>
  </r>
  <r>
    <s v="ORD00709"/>
    <d v="2024-10-13T00:00:00"/>
    <s v="CUST127"/>
    <s v="West"/>
    <x v="0"/>
    <n v="2"/>
    <n v="972"/>
    <x v="637"/>
  </r>
  <r>
    <s v="ORD00710"/>
    <d v="2024-11-06T00:00:00"/>
    <s v="CUST084"/>
    <s v="East"/>
    <x v="3"/>
    <n v="4"/>
    <n v="1053"/>
    <x v="57"/>
  </r>
  <r>
    <s v="ORD00711"/>
    <d v="2024-02-06T00:00:00"/>
    <s v="CUST253"/>
    <s v="West"/>
    <x v="2"/>
    <n v="2"/>
    <n v="247"/>
    <x v="638"/>
  </r>
  <r>
    <s v="ORD00712"/>
    <d v="2024-01-18T00:00:00"/>
    <s v="CUST030"/>
    <s v="West"/>
    <x v="3"/>
    <n v="1"/>
    <n v="598"/>
    <x v="639"/>
  </r>
  <r>
    <s v="ORD00713"/>
    <d v="2023-06-01T00:00:00"/>
    <s v="CUST052"/>
    <s v="East"/>
    <x v="0"/>
    <n v="2"/>
    <n v="151"/>
    <x v="640"/>
  </r>
  <r>
    <s v="ORD00714"/>
    <d v="2024-10-25T00:00:00"/>
    <s v="CUST242"/>
    <s v="North"/>
    <x v="1"/>
    <n v="5"/>
    <n v="509"/>
    <x v="641"/>
  </r>
  <r>
    <s v="ORD00715"/>
    <d v="2023-04-14T00:00:00"/>
    <s v="CUST236"/>
    <s v="East"/>
    <x v="2"/>
    <n v="5"/>
    <n v="599"/>
    <x v="642"/>
  </r>
  <r>
    <s v="ORD00716"/>
    <d v="2023-02-24T00:00:00"/>
    <s v="CUST131"/>
    <s v="West"/>
    <x v="0"/>
    <n v="5"/>
    <n v="729"/>
    <x v="643"/>
  </r>
  <r>
    <s v="ORD00717"/>
    <d v="2024-04-01T00:00:00"/>
    <s v="CUST169"/>
    <s v="West"/>
    <x v="0"/>
    <n v="5"/>
    <n v="706"/>
    <x v="644"/>
  </r>
  <r>
    <s v="ORD00718"/>
    <d v="2023-04-30T00:00:00"/>
    <s v="CUST120"/>
    <s v="West"/>
    <x v="1"/>
    <n v="1"/>
    <n v="822"/>
    <x v="113"/>
  </r>
  <r>
    <s v="ORD00719"/>
    <d v="2023-01-21T00:00:00"/>
    <s v="CUST242"/>
    <s v="East"/>
    <x v="3"/>
    <n v="1"/>
    <n v="489"/>
    <x v="419"/>
  </r>
  <r>
    <s v="ORD00720"/>
    <d v="2024-06-26T00:00:00"/>
    <s v="CUST003"/>
    <s v="West"/>
    <x v="4"/>
    <n v="3"/>
    <n v="1079"/>
    <x v="255"/>
  </r>
  <r>
    <s v="ORD00721"/>
    <d v="2023-07-31T00:00:00"/>
    <s v="CUST113"/>
    <s v="West"/>
    <x v="0"/>
    <n v="2"/>
    <n v="535"/>
    <x v="645"/>
  </r>
  <r>
    <s v="ORD00722"/>
    <d v="2024-04-24T00:00:00"/>
    <s v="CUST190"/>
    <s v="North"/>
    <x v="0"/>
    <n v="3"/>
    <n v="528"/>
    <x v="646"/>
  </r>
  <r>
    <s v="ORD00723"/>
    <d v="2023-10-12T00:00:00"/>
    <s v="CUST117"/>
    <s v="North"/>
    <x v="1"/>
    <n v="2"/>
    <n v="984"/>
    <x v="647"/>
  </r>
  <r>
    <s v="ORD00724"/>
    <d v="2023-01-31T00:00:00"/>
    <s v="CUST282"/>
    <s v="North"/>
    <x v="3"/>
    <n v="2"/>
    <n v="1011"/>
    <x v="648"/>
  </r>
  <r>
    <s v="ORD00725"/>
    <d v="2023-07-05T00:00:00"/>
    <s v="CUST118"/>
    <s v="South"/>
    <x v="2"/>
    <n v="2"/>
    <n v="974"/>
    <x v="649"/>
  </r>
  <r>
    <s v="ORD00726"/>
    <d v="2023-07-22T00:00:00"/>
    <s v="CUST002"/>
    <s v="North"/>
    <x v="1"/>
    <n v="4"/>
    <n v="602"/>
    <x v="650"/>
  </r>
  <r>
    <s v="ORD00727"/>
    <d v="2023-12-06T00:00:00"/>
    <s v="CUST083"/>
    <s v="East"/>
    <x v="4"/>
    <n v="3"/>
    <n v="494"/>
    <x v="651"/>
  </r>
  <r>
    <s v="ORD00728"/>
    <d v="2023-09-27T00:00:00"/>
    <s v="CUST064"/>
    <s v="South"/>
    <x v="4"/>
    <n v="3"/>
    <n v="307"/>
    <x v="652"/>
  </r>
  <r>
    <s v="ORD00729"/>
    <d v="2023-09-08T00:00:00"/>
    <s v="CUST011"/>
    <s v="North"/>
    <x v="0"/>
    <n v="4"/>
    <n v="449"/>
    <x v="653"/>
  </r>
  <r>
    <s v="ORD00730"/>
    <d v="2024-09-25T00:00:00"/>
    <s v="CUST086"/>
    <s v="North"/>
    <x v="3"/>
    <n v="4"/>
    <n v="725"/>
    <x v="654"/>
  </r>
  <r>
    <s v="ORD00731"/>
    <d v="2023-02-20T00:00:00"/>
    <s v="CUST247"/>
    <s v="North"/>
    <x v="1"/>
    <n v="1"/>
    <n v="1023"/>
    <x v="655"/>
  </r>
  <r>
    <s v="ORD00732"/>
    <d v="2023-03-01T00:00:00"/>
    <s v="CUST154"/>
    <s v="South"/>
    <x v="0"/>
    <n v="4"/>
    <n v="465"/>
    <x v="656"/>
  </r>
  <r>
    <s v="ORD00733"/>
    <d v="2024-10-10T00:00:00"/>
    <s v="CUST148"/>
    <s v="East"/>
    <x v="3"/>
    <n v="2"/>
    <n v="728"/>
    <x v="657"/>
  </r>
  <r>
    <s v="ORD00734"/>
    <d v="2024-03-15T00:00:00"/>
    <s v="CUST205"/>
    <s v="North"/>
    <x v="3"/>
    <n v="4"/>
    <n v="1134"/>
    <x v="658"/>
  </r>
  <r>
    <s v="ORD00735"/>
    <d v="2024-05-19T00:00:00"/>
    <s v="CUST065"/>
    <s v="South"/>
    <x v="0"/>
    <n v="3"/>
    <n v="461"/>
    <x v="659"/>
  </r>
  <r>
    <s v="ORD00736"/>
    <d v="2023-09-17T00:00:00"/>
    <s v="CUST226"/>
    <s v="South"/>
    <x v="2"/>
    <n v="3"/>
    <n v="357"/>
    <x v="619"/>
  </r>
  <r>
    <s v="ORD00737"/>
    <d v="2024-04-09T00:00:00"/>
    <s v="CUST186"/>
    <s v="North"/>
    <x v="4"/>
    <n v="2"/>
    <n v="919"/>
    <x v="660"/>
  </r>
  <r>
    <s v="ORD00738"/>
    <d v="2023-01-08T00:00:00"/>
    <s v="CUST206"/>
    <s v="North"/>
    <x v="3"/>
    <n v="4"/>
    <n v="1152"/>
    <x v="661"/>
  </r>
  <r>
    <s v="ORD00739"/>
    <d v="2024-04-07T00:00:00"/>
    <s v="CUST300"/>
    <s v="East"/>
    <x v="3"/>
    <n v="3"/>
    <n v="320"/>
    <x v="361"/>
  </r>
  <r>
    <s v="ORD00740"/>
    <d v="2024-03-06T00:00:00"/>
    <s v="CUST148"/>
    <s v="East"/>
    <x v="0"/>
    <n v="5"/>
    <n v="598"/>
    <x v="662"/>
  </r>
  <r>
    <s v="ORD00741"/>
    <d v="2023-01-05T00:00:00"/>
    <s v="CUST143"/>
    <s v="North"/>
    <x v="4"/>
    <n v="2"/>
    <n v="267"/>
    <x v="663"/>
  </r>
  <r>
    <s v="ORD00742"/>
    <d v="2023-08-06T00:00:00"/>
    <s v="CUST246"/>
    <s v="East"/>
    <x v="1"/>
    <n v="1"/>
    <n v="546"/>
    <x v="664"/>
  </r>
  <r>
    <s v="ORD00743"/>
    <d v="2023-05-29T00:00:00"/>
    <s v="CUST066"/>
    <s v="West"/>
    <x v="0"/>
    <n v="5"/>
    <n v="235"/>
    <x v="665"/>
  </r>
  <r>
    <s v="ORD00744"/>
    <d v="2023-12-07T00:00:00"/>
    <s v="CUST057"/>
    <s v="South"/>
    <x v="4"/>
    <n v="1"/>
    <n v="754"/>
    <x v="666"/>
  </r>
  <r>
    <s v="ORD00745"/>
    <d v="2023-08-20T00:00:00"/>
    <s v="CUST159"/>
    <s v="East"/>
    <x v="0"/>
    <n v="3"/>
    <n v="516"/>
    <x v="667"/>
  </r>
  <r>
    <s v="ORD00746"/>
    <d v="2024-06-15T00:00:00"/>
    <s v="CUST043"/>
    <s v="South"/>
    <x v="4"/>
    <n v="3"/>
    <n v="772"/>
    <x v="668"/>
  </r>
  <r>
    <s v="ORD00747"/>
    <d v="2023-01-14T00:00:00"/>
    <s v="CUST237"/>
    <s v="North"/>
    <x v="2"/>
    <n v="3"/>
    <n v="263"/>
    <x v="669"/>
  </r>
  <r>
    <s v="ORD00748"/>
    <d v="2023-12-29T00:00:00"/>
    <s v="CUST246"/>
    <s v="East"/>
    <x v="3"/>
    <n v="1"/>
    <n v="275"/>
    <x v="670"/>
  </r>
  <r>
    <s v="ORD00749"/>
    <d v="2023-01-29T00:00:00"/>
    <s v="CUST052"/>
    <s v="East"/>
    <x v="0"/>
    <n v="1"/>
    <n v="152"/>
    <x v="671"/>
  </r>
  <r>
    <s v="ORD00750"/>
    <d v="2023-10-20T00:00:00"/>
    <s v="CUST195"/>
    <s v="South"/>
    <x v="2"/>
    <n v="3"/>
    <n v="1160"/>
    <x v="311"/>
  </r>
  <r>
    <s v="ORD00751"/>
    <d v="2023-05-31T00:00:00"/>
    <s v="CUST274"/>
    <s v="North"/>
    <x v="1"/>
    <n v="1"/>
    <n v="998"/>
    <x v="672"/>
  </r>
  <r>
    <s v="ORD00752"/>
    <d v="2024-06-12T00:00:00"/>
    <s v="CUST041"/>
    <s v="North"/>
    <x v="3"/>
    <n v="2"/>
    <n v="1044"/>
    <x v="673"/>
  </r>
  <r>
    <s v="ORD00753"/>
    <d v="2024-09-18T00:00:00"/>
    <s v="CUST286"/>
    <s v="South"/>
    <x v="3"/>
    <n v="3"/>
    <n v="508"/>
    <x v="674"/>
  </r>
  <r>
    <s v="ORD00754"/>
    <d v="2024-07-10T00:00:00"/>
    <s v="CUST226"/>
    <s v="East"/>
    <x v="2"/>
    <n v="4"/>
    <n v="147"/>
    <x v="675"/>
  </r>
  <r>
    <s v="ORD00755"/>
    <d v="2024-04-16T00:00:00"/>
    <s v="CUST219"/>
    <s v="West"/>
    <x v="2"/>
    <n v="3"/>
    <n v="934"/>
    <x v="676"/>
  </r>
  <r>
    <s v="ORD00756"/>
    <d v="2023-04-21T00:00:00"/>
    <s v="CUST090"/>
    <s v="East"/>
    <x v="1"/>
    <n v="1"/>
    <n v="542"/>
    <x v="677"/>
  </r>
  <r>
    <s v="ORD00757"/>
    <d v="2023-07-12T00:00:00"/>
    <s v="CUST066"/>
    <s v="East"/>
    <x v="0"/>
    <n v="1"/>
    <n v="1057"/>
    <x v="678"/>
  </r>
  <r>
    <s v="ORD00758"/>
    <d v="2023-12-10T00:00:00"/>
    <s v="CUST261"/>
    <s v="East"/>
    <x v="3"/>
    <n v="5"/>
    <n v="484"/>
    <x v="679"/>
  </r>
  <r>
    <s v="ORD00759"/>
    <d v="2023-04-05T00:00:00"/>
    <s v="CUST091"/>
    <s v="West"/>
    <x v="3"/>
    <n v="5"/>
    <n v="1033"/>
    <x v="680"/>
  </r>
  <r>
    <s v="ORD00760"/>
    <d v="2024-07-27T00:00:00"/>
    <s v="CUST252"/>
    <s v="East"/>
    <x v="2"/>
    <n v="2"/>
    <n v="610"/>
    <x v="544"/>
  </r>
  <r>
    <s v="ORD00761"/>
    <d v="2024-11-10T00:00:00"/>
    <s v="CUST262"/>
    <s v="South"/>
    <x v="0"/>
    <n v="1"/>
    <n v="724"/>
    <x v="624"/>
  </r>
  <r>
    <s v="ORD00762"/>
    <d v="2023-12-11T00:00:00"/>
    <s v="CUST106"/>
    <s v="South"/>
    <x v="1"/>
    <n v="2"/>
    <n v="592"/>
    <x v="486"/>
  </r>
  <r>
    <s v="ORD00763"/>
    <d v="2024-06-28T00:00:00"/>
    <s v="CUST260"/>
    <s v="East"/>
    <x v="1"/>
    <n v="3"/>
    <n v="431"/>
    <x v="681"/>
  </r>
  <r>
    <s v="ORD00764"/>
    <d v="2023-07-28T00:00:00"/>
    <s v="CUST041"/>
    <s v="West"/>
    <x v="4"/>
    <n v="4"/>
    <n v="384"/>
    <x v="7"/>
  </r>
  <r>
    <s v="ORD00765"/>
    <d v="2023-11-18T00:00:00"/>
    <s v="CUST131"/>
    <s v="West"/>
    <x v="0"/>
    <n v="1"/>
    <n v="1140"/>
    <x v="682"/>
  </r>
  <r>
    <s v="ORD00766"/>
    <d v="2023-12-19T00:00:00"/>
    <s v="CUST045"/>
    <s v="West"/>
    <x v="0"/>
    <n v="1"/>
    <n v="668"/>
    <x v="683"/>
  </r>
  <r>
    <s v="ORD00767"/>
    <d v="2023-09-21T00:00:00"/>
    <s v="CUST279"/>
    <s v="West"/>
    <x v="2"/>
    <n v="5"/>
    <n v="1195"/>
    <x v="684"/>
  </r>
  <r>
    <s v="ORD00768"/>
    <d v="2024-01-27T00:00:00"/>
    <s v="CUST286"/>
    <s v="West"/>
    <x v="4"/>
    <n v="1"/>
    <n v="627"/>
    <x v="685"/>
  </r>
  <r>
    <s v="ORD00769"/>
    <d v="2024-08-14T00:00:00"/>
    <s v="CUST253"/>
    <s v="West"/>
    <x v="2"/>
    <n v="3"/>
    <n v="322"/>
    <x v="686"/>
  </r>
  <r>
    <s v="ORD00770"/>
    <d v="2023-06-03T00:00:00"/>
    <s v="CUST189"/>
    <s v="West"/>
    <x v="1"/>
    <n v="5"/>
    <n v="515"/>
    <x v="687"/>
  </r>
  <r>
    <s v="ORD00771"/>
    <d v="2023-02-06T00:00:00"/>
    <s v="CUST245"/>
    <s v="East"/>
    <x v="2"/>
    <n v="2"/>
    <n v="1191"/>
    <x v="688"/>
  </r>
  <r>
    <s v="ORD00772"/>
    <d v="2023-06-15T00:00:00"/>
    <s v="CUST001"/>
    <s v="North"/>
    <x v="4"/>
    <n v="3"/>
    <n v="1098"/>
    <x v="689"/>
  </r>
  <r>
    <s v="ORD00773"/>
    <d v="2024-02-02T00:00:00"/>
    <s v="CUST138"/>
    <s v="North"/>
    <x v="4"/>
    <n v="1"/>
    <n v="271"/>
    <x v="690"/>
  </r>
  <r>
    <s v="ORD00774"/>
    <d v="2023-07-30T00:00:00"/>
    <s v="CUST114"/>
    <s v="East"/>
    <x v="0"/>
    <n v="2"/>
    <n v="665"/>
    <x v="691"/>
  </r>
  <r>
    <s v="ORD00775"/>
    <d v="2023-04-16T00:00:00"/>
    <s v="CUST060"/>
    <s v="West"/>
    <x v="0"/>
    <n v="3"/>
    <n v="798"/>
    <x v="692"/>
  </r>
  <r>
    <s v="ORD00776"/>
    <d v="2023-05-12T00:00:00"/>
    <s v="CUST213"/>
    <s v="East"/>
    <x v="3"/>
    <n v="5"/>
    <n v="390"/>
    <x v="693"/>
  </r>
  <r>
    <s v="ORD00777"/>
    <d v="2023-04-22T00:00:00"/>
    <s v="CUST231"/>
    <s v="East"/>
    <x v="1"/>
    <n v="2"/>
    <n v="861"/>
    <x v="694"/>
  </r>
  <r>
    <s v="ORD00778"/>
    <d v="2023-03-17T00:00:00"/>
    <s v="CUST283"/>
    <s v="North"/>
    <x v="0"/>
    <n v="4"/>
    <n v="539"/>
    <x v="695"/>
  </r>
  <r>
    <s v="ORD00779"/>
    <d v="2023-03-12T00:00:00"/>
    <s v="CUST171"/>
    <s v="West"/>
    <x v="3"/>
    <n v="4"/>
    <n v="917"/>
    <x v="696"/>
  </r>
  <r>
    <s v="ORD00780"/>
    <d v="2023-12-25T00:00:00"/>
    <s v="CUST079"/>
    <s v="West"/>
    <x v="0"/>
    <n v="5"/>
    <n v="1011"/>
    <x v="697"/>
  </r>
  <r>
    <s v="ORD00781"/>
    <d v="2024-03-18T00:00:00"/>
    <s v="CUST022"/>
    <s v="East"/>
    <x v="0"/>
    <n v="4"/>
    <n v="293"/>
    <x v="698"/>
  </r>
  <r>
    <s v="ORD00782"/>
    <d v="2024-10-17T00:00:00"/>
    <s v="CUST159"/>
    <s v="West"/>
    <x v="4"/>
    <n v="3"/>
    <n v="214"/>
    <x v="308"/>
  </r>
  <r>
    <s v="ORD00783"/>
    <d v="2023-12-20T00:00:00"/>
    <s v="CUST063"/>
    <s v="South"/>
    <x v="0"/>
    <n v="2"/>
    <n v="147"/>
    <x v="428"/>
  </r>
  <r>
    <s v="ORD00784"/>
    <d v="2023-04-09T00:00:00"/>
    <s v="CUST101"/>
    <s v="South"/>
    <x v="2"/>
    <n v="5"/>
    <n v="288"/>
    <x v="699"/>
  </r>
  <r>
    <s v="ORD00785"/>
    <d v="2023-02-27T00:00:00"/>
    <s v="CUST253"/>
    <s v="North"/>
    <x v="2"/>
    <n v="2"/>
    <n v="277"/>
    <x v="225"/>
  </r>
  <r>
    <s v="ORD00786"/>
    <d v="2023-12-26T00:00:00"/>
    <s v="CUST071"/>
    <s v="East"/>
    <x v="1"/>
    <n v="1"/>
    <n v="1005"/>
    <x v="700"/>
  </r>
  <r>
    <s v="ORD00787"/>
    <d v="2023-07-14T00:00:00"/>
    <s v="CUST003"/>
    <s v="East"/>
    <x v="2"/>
    <n v="4"/>
    <n v="842"/>
    <x v="482"/>
  </r>
  <r>
    <s v="ORD00788"/>
    <d v="2024-02-10T00:00:00"/>
    <s v="CUST108"/>
    <s v="South"/>
    <x v="3"/>
    <n v="5"/>
    <n v="972"/>
    <x v="701"/>
  </r>
  <r>
    <s v="ORD00789"/>
    <d v="2024-07-30T00:00:00"/>
    <s v="CUST083"/>
    <s v="East"/>
    <x v="4"/>
    <n v="5"/>
    <n v="805"/>
    <x v="702"/>
  </r>
  <r>
    <s v="ORD00790"/>
    <d v="2024-04-27T00:00:00"/>
    <s v="CUST184"/>
    <s v="East"/>
    <x v="0"/>
    <n v="3"/>
    <n v="205"/>
    <x v="703"/>
  </r>
  <r>
    <s v="ORD00791"/>
    <d v="2024-10-23T00:00:00"/>
    <s v="CUST042"/>
    <s v="North"/>
    <x v="2"/>
    <n v="1"/>
    <n v="194"/>
    <x v="485"/>
  </r>
  <r>
    <s v="ORD00792"/>
    <d v="2023-03-12T00:00:00"/>
    <s v="CUST144"/>
    <s v="South"/>
    <x v="4"/>
    <n v="3"/>
    <n v="102"/>
    <x v="704"/>
  </r>
  <r>
    <s v="ORD00793"/>
    <d v="2024-07-28T00:00:00"/>
    <s v="CUST254"/>
    <s v="North"/>
    <x v="0"/>
    <n v="1"/>
    <n v="938"/>
    <x v="705"/>
  </r>
  <r>
    <s v="ORD00794"/>
    <d v="2024-02-01T00:00:00"/>
    <s v="CUST269"/>
    <s v="East"/>
    <x v="2"/>
    <n v="2"/>
    <n v="857"/>
    <x v="706"/>
  </r>
  <r>
    <s v="ORD00795"/>
    <d v="2023-12-21T00:00:00"/>
    <s v="CUST071"/>
    <s v="East"/>
    <x v="3"/>
    <n v="1"/>
    <n v="966"/>
    <x v="686"/>
  </r>
  <r>
    <s v="ORD00796"/>
    <d v="2023-02-11T00:00:00"/>
    <s v="CUST180"/>
    <s v="West"/>
    <x v="2"/>
    <n v="2"/>
    <n v="599"/>
    <x v="707"/>
  </r>
  <r>
    <s v="ORD00797"/>
    <d v="2023-01-04T00:00:00"/>
    <s v="CUST135"/>
    <s v="West"/>
    <x v="0"/>
    <n v="1"/>
    <n v="572"/>
    <x v="36"/>
  </r>
  <r>
    <s v="ORD00798"/>
    <d v="2024-02-20T00:00:00"/>
    <s v="CUST126"/>
    <s v="East"/>
    <x v="4"/>
    <n v="5"/>
    <n v="1200"/>
    <x v="708"/>
  </r>
  <r>
    <s v="ORD00799"/>
    <d v="2023-07-05T00:00:00"/>
    <s v="CUST081"/>
    <s v="West"/>
    <x v="1"/>
    <n v="5"/>
    <n v="102"/>
    <x v="709"/>
  </r>
  <r>
    <s v="ORD00800"/>
    <d v="2023-06-08T00:00:00"/>
    <s v="CUST295"/>
    <s v="North"/>
    <x v="4"/>
    <n v="5"/>
    <n v="745"/>
    <x v="710"/>
  </r>
  <r>
    <s v="ORD00801"/>
    <d v="2023-06-24T00:00:00"/>
    <s v="CUST184"/>
    <s v="South"/>
    <x v="3"/>
    <n v="5"/>
    <n v="875"/>
    <x v="711"/>
  </r>
  <r>
    <s v="ORD00802"/>
    <d v="2024-03-09T00:00:00"/>
    <s v="CUST284"/>
    <s v="East"/>
    <x v="4"/>
    <n v="5"/>
    <n v="832"/>
    <x v="712"/>
  </r>
  <r>
    <s v="ORD00803"/>
    <d v="2024-04-08T00:00:00"/>
    <s v="CUST150"/>
    <s v="South"/>
    <x v="2"/>
    <n v="3"/>
    <n v="1103"/>
    <x v="713"/>
  </r>
  <r>
    <s v="ORD00804"/>
    <d v="2024-07-25T00:00:00"/>
    <s v="CUST155"/>
    <s v="South"/>
    <x v="0"/>
    <n v="3"/>
    <n v="348"/>
    <x v="714"/>
  </r>
  <r>
    <s v="ORD00805"/>
    <d v="2023-11-05T00:00:00"/>
    <s v="CUST113"/>
    <s v="East"/>
    <x v="2"/>
    <n v="1"/>
    <n v="1132"/>
    <x v="715"/>
  </r>
  <r>
    <s v="ORD00806"/>
    <d v="2024-11-13T00:00:00"/>
    <s v="CUST031"/>
    <s v="North"/>
    <x v="1"/>
    <n v="3"/>
    <n v="823"/>
    <x v="716"/>
  </r>
  <r>
    <s v="ORD00807"/>
    <d v="2023-07-01T00:00:00"/>
    <s v="CUST080"/>
    <s v="North"/>
    <x v="0"/>
    <n v="5"/>
    <n v="947"/>
    <x v="717"/>
  </r>
  <r>
    <s v="ORD00808"/>
    <d v="2024-02-05T00:00:00"/>
    <s v="CUST208"/>
    <s v="South"/>
    <x v="1"/>
    <n v="4"/>
    <n v="278"/>
    <x v="457"/>
  </r>
  <r>
    <s v="ORD00809"/>
    <d v="2023-11-15T00:00:00"/>
    <s v="CUST112"/>
    <s v="East"/>
    <x v="3"/>
    <n v="5"/>
    <n v="725"/>
    <x v="718"/>
  </r>
  <r>
    <s v="ORD00810"/>
    <d v="2024-06-13T00:00:00"/>
    <s v="CUST033"/>
    <s v="East"/>
    <x v="3"/>
    <n v="2"/>
    <n v="1104"/>
    <x v="110"/>
  </r>
  <r>
    <s v="ORD00811"/>
    <d v="2024-03-22T00:00:00"/>
    <s v="CUST292"/>
    <s v="East"/>
    <x v="1"/>
    <n v="3"/>
    <n v="986"/>
    <x v="384"/>
  </r>
  <r>
    <s v="ORD00812"/>
    <d v="2023-11-30T00:00:00"/>
    <s v="CUST113"/>
    <s v="North"/>
    <x v="1"/>
    <n v="5"/>
    <n v="1127"/>
    <x v="719"/>
  </r>
  <r>
    <s v="ORD00813"/>
    <d v="2023-04-28T00:00:00"/>
    <s v="CUST115"/>
    <s v="West"/>
    <x v="0"/>
    <n v="2"/>
    <n v="974"/>
    <x v="649"/>
  </r>
  <r>
    <s v="ORD00814"/>
    <d v="2024-01-19T00:00:00"/>
    <s v="CUST183"/>
    <s v="West"/>
    <x v="1"/>
    <n v="4"/>
    <n v="203"/>
    <x v="720"/>
  </r>
  <r>
    <s v="ORD00815"/>
    <d v="2024-10-23T00:00:00"/>
    <s v="CUST202"/>
    <s v="East"/>
    <x v="1"/>
    <n v="4"/>
    <n v="836"/>
    <x v="721"/>
  </r>
  <r>
    <s v="ORD00816"/>
    <d v="2024-07-05T00:00:00"/>
    <s v="CUST215"/>
    <s v="West"/>
    <x v="2"/>
    <n v="3"/>
    <n v="226"/>
    <x v="722"/>
  </r>
  <r>
    <s v="ORD00817"/>
    <d v="2023-02-12T00:00:00"/>
    <s v="CUST129"/>
    <s v="West"/>
    <x v="2"/>
    <n v="2"/>
    <n v="602"/>
    <x v="105"/>
  </r>
  <r>
    <s v="ORD00818"/>
    <d v="2024-11-24T00:00:00"/>
    <s v="CUST058"/>
    <s v="South"/>
    <x v="0"/>
    <n v="1"/>
    <n v="567"/>
    <x v="494"/>
  </r>
  <r>
    <s v="ORD00819"/>
    <d v="2023-04-23T00:00:00"/>
    <s v="CUST062"/>
    <s v="West"/>
    <x v="4"/>
    <n v="2"/>
    <n v="899"/>
    <x v="723"/>
  </r>
  <r>
    <s v="ORD00820"/>
    <d v="2023-06-15T00:00:00"/>
    <s v="CUST005"/>
    <s v="North"/>
    <x v="2"/>
    <n v="2"/>
    <n v="783"/>
    <x v="724"/>
  </r>
  <r>
    <s v="ORD00821"/>
    <d v="2023-07-19T00:00:00"/>
    <s v="CUST265"/>
    <s v="East"/>
    <x v="4"/>
    <n v="3"/>
    <n v="799"/>
    <x v="725"/>
  </r>
  <r>
    <s v="ORD00822"/>
    <d v="2024-06-10T00:00:00"/>
    <s v="CUST215"/>
    <s v="East"/>
    <x v="1"/>
    <n v="4"/>
    <n v="874"/>
    <x v="726"/>
  </r>
  <r>
    <s v="ORD00823"/>
    <d v="2023-12-10T00:00:00"/>
    <s v="CUST184"/>
    <s v="North"/>
    <x v="2"/>
    <n v="5"/>
    <n v="551"/>
    <x v="727"/>
  </r>
  <r>
    <s v="ORD00824"/>
    <d v="2023-03-09T00:00:00"/>
    <s v="CUST226"/>
    <s v="South"/>
    <x v="4"/>
    <n v="4"/>
    <n v="483"/>
    <x v="72"/>
  </r>
  <r>
    <s v="ORD00825"/>
    <d v="2024-04-28T00:00:00"/>
    <s v="CUST023"/>
    <s v="South"/>
    <x v="2"/>
    <n v="3"/>
    <n v="1169"/>
    <x v="728"/>
  </r>
  <r>
    <s v="ORD00826"/>
    <d v="2024-08-28T00:00:00"/>
    <s v="CUST027"/>
    <s v="South"/>
    <x v="2"/>
    <n v="4"/>
    <n v="473"/>
    <x v="729"/>
  </r>
  <r>
    <s v="ORD00827"/>
    <d v="2023-12-12T00:00:00"/>
    <s v="CUST105"/>
    <s v="South"/>
    <x v="4"/>
    <n v="3"/>
    <n v="221"/>
    <x v="730"/>
  </r>
  <r>
    <s v="ORD00828"/>
    <d v="2023-05-01T00:00:00"/>
    <s v="CUST256"/>
    <s v="South"/>
    <x v="0"/>
    <n v="4"/>
    <n v="699"/>
    <x v="731"/>
  </r>
  <r>
    <s v="ORD00829"/>
    <d v="2024-07-05T00:00:00"/>
    <s v="CUST038"/>
    <s v="West"/>
    <x v="0"/>
    <n v="3"/>
    <n v="413"/>
    <x v="732"/>
  </r>
  <r>
    <s v="ORD00830"/>
    <d v="2023-10-14T00:00:00"/>
    <s v="CUST143"/>
    <s v="West"/>
    <x v="1"/>
    <n v="5"/>
    <n v="577"/>
    <x v="733"/>
  </r>
  <r>
    <s v="ORD00831"/>
    <d v="2024-08-21T00:00:00"/>
    <s v="CUST208"/>
    <s v="West"/>
    <x v="2"/>
    <n v="3"/>
    <n v="987"/>
    <x v="734"/>
  </r>
  <r>
    <s v="ORD00832"/>
    <d v="2023-11-26T00:00:00"/>
    <s v="CUST038"/>
    <s v="West"/>
    <x v="2"/>
    <n v="1"/>
    <n v="648"/>
    <x v="735"/>
  </r>
  <r>
    <s v="ORD00833"/>
    <d v="2024-10-29T00:00:00"/>
    <s v="CUST253"/>
    <s v="South"/>
    <x v="4"/>
    <n v="1"/>
    <n v="746"/>
    <x v="58"/>
  </r>
  <r>
    <s v="ORD00834"/>
    <d v="2023-10-28T00:00:00"/>
    <s v="CUST116"/>
    <s v="West"/>
    <x v="0"/>
    <n v="4"/>
    <n v="597"/>
    <x v="736"/>
  </r>
  <r>
    <s v="ORD00835"/>
    <d v="2023-09-02T00:00:00"/>
    <s v="CUST062"/>
    <s v="North"/>
    <x v="1"/>
    <n v="4"/>
    <n v="212"/>
    <x v="737"/>
  </r>
  <r>
    <s v="ORD00836"/>
    <d v="2024-01-19T00:00:00"/>
    <s v="CUST263"/>
    <s v="West"/>
    <x v="1"/>
    <n v="4"/>
    <n v="1140"/>
    <x v="738"/>
  </r>
  <r>
    <s v="ORD00837"/>
    <d v="2024-11-22T00:00:00"/>
    <s v="CUST095"/>
    <s v="West"/>
    <x v="1"/>
    <n v="5"/>
    <n v="643"/>
    <x v="739"/>
  </r>
  <r>
    <s v="ORD00838"/>
    <d v="2023-09-08T00:00:00"/>
    <s v="CUST003"/>
    <s v="North"/>
    <x v="4"/>
    <n v="5"/>
    <n v="1111"/>
    <x v="740"/>
  </r>
  <r>
    <s v="ORD00839"/>
    <d v="2023-09-23T00:00:00"/>
    <s v="CUST028"/>
    <s v="South"/>
    <x v="4"/>
    <n v="1"/>
    <n v="739"/>
    <x v="741"/>
  </r>
  <r>
    <s v="ORD00840"/>
    <d v="2024-04-29T00:00:00"/>
    <s v="CUST128"/>
    <s v="South"/>
    <x v="1"/>
    <n v="3"/>
    <n v="481"/>
    <x v="742"/>
  </r>
  <r>
    <s v="ORD00841"/>
    <d v="2024-09-06T00:00:00"/>
    <s v="CUST017"/>
    <s v="West"/>
    <x v="3"/>
    <n v="1"/>
    <n v="882"/>
    <x v="743"/>
  </r>
  <r>
    <s v="ORD00842"/>
    <d v="2023-03-17T00:00:00"/>
    <s v="CUST044"/>
    <s v="South"/>
    <x v="2"/>
    <n v="4"/>
    <n v="339"/>
    <x v="744"/>
  </r>
  <r>
    <s v="ORD00843"/>
    <d v="2023-12-15T00:00:00"/>
    <s v="CUST231"/>
    <s v="West"/>
    <x v="2"/>
    <n v="4"/>
    <n v="1062"/>
    <x v="745"/>
  </r>
  <r>
    <s v="ORD00844"/>
    <d v="2024-03-31T00:00:00"/>
    <s v="CUST046"/>
    <s v="East"/>
    <x v="1"/>
    <n v="3"/>
    <n v="679"/>
    <x v="746"/>
  </r>
  <r>
    <s v="ORD00845"/>
    <d v="2024-08-18T00:00:00"/>
    <s v="CUST040"/>
    <s v="West"/>
    <x v="1"/>
    <n v="2"/>
    <n v="135"/>
    <x v="747"/>
  </r>
  <r>
    <s v="ORD00846"/>
    <d v="2024-07-09T00:00:00"/>
    <s v="CUST237"/>
    <s v="West"/>
    <x v="4"/>
    <n v="1"/>
    <n v="246"/>
    <x v="748"/>
  </r>
  <r>
    <s v="ORD00847"/>
    <d v="2024-09-24T00:00:00"/>
    <s v="CUST224"/>
    <s v="North"/>
    <x v="1"/>
    <n v="5"/>
    <n v="575"/>
    <x v="749"/>
  </r>
  <r>
    <s v="ORD00848"/>
    <d v="2023-07-05T00:00:00"/>
    <s v="CUST076"/>
    <s v="South"/>
    <x v="4"/>
    <n v="5"/>
    <n v="699"/>
    <x v="750"/>
  </r>
  <r>
    <s v="ORD00849"/>
    <d v="2024-05-22T00:00:00"/>
    <s v="CUST170"/>
    <s v="East"/>
    <x v="0"/>
    <n v="4"/>
    <n v="877"/>
    <x v="751"/>
  </r>
  <r>
    <s v="ORD00850"/>
    <d v="2024-02-10T00:00:00"/>
    <s v="CUST024"/>
    <s v="East"/>
    <x v="1"/>
    <n v="3"/>
    <n v="907"/>
    <x v="752"/>
  </r>
  <r>
    <s v="ORD00851"/>
    <d v="2024-07-04T00:00:00"/>
    <s v="CUST070"/>
    <s v="East"/>
    <x v="2"/>
    <n v="4"/>
    <n v="595"/>
    <x v="471"/>
  </r>
  <r>
    <s v="ORD00852"/>
    <d v="2023-07-28T00:00:00"/>
    <s v="CUST243"/>
    <s v="North"/>
    <x v="2"/>
    <n v="4"/>
    <n v="445"/>
    <x v="753"/>
  </r>
  <r>
    <s v="ORD00853"/>
    <d v="2024-02-24T00:00:00"/>
    <s v="CUST080"/>
    <s v="North"/>
    <x v="4"/>
    <n v="2"/>
    <n v="365"/>
    <x v="754"/>
  </r>
  <r>
    <s v="ORD00854"/>
    <d v="2024-09-19T00:00:00"/>
    <s v="CUST201"/>
    <s v="East"/>
    <x v="0"/>
    <n v="2"/>
    <n v="585"/>
    <x v="755"/>
  </r>
  <r>
    <s v="ORD00855"/>
    <d v="2024-08-09T00:00:00"/>
    <s v="CUST216"/>
    <s v="South"/>
    <x v="2"/>
    <n v="2"/>
    <n v="595"/>
    <x v="756"/>
  </r>
  <r>
    <s v="ORD00856"/>
    <d v="2023-07-21T00:00:00"/>
    <s v="CUST107"/>
    <s v="South"/>
    <x v="2"/>
    <n v="3"/>
    <n v="1059"/>
    <x v="757"/>
  </r>
  <r>
    <s v="ORD00857"/>
    <d v="2024-08-23T00:00:00"/>
    <s v="CUST035"/>
    <s v="South"/>
    <x v="2"/>
    <n v="5"/>
    <n v="219"/>
    <x v="758"/>
  </r>
  <r>
    <s v="ORD00858"/>
    <d v="2023-08-13T00:00:00"/>
    <s v="CUST069"/>
    <s v="East"/>
    <x v="2"/>
    <n v="3"/>
    <n v="594"/>
    <x v="403"/>
  </r>
  <r>
    <s v="ORD00859"/>
    <d v="2023-12-21T00:00:00"/>
    <s v="CUST074"/>
    <s v="West"/>
    <x v="3"/>
    <n v="1"/>
    <n v="787"/>
    <x v="759"/>
  </r>
  <r>
    <s v="ORD00860"/>
    <d v="2024-07-15T00:00:00"/>
    <s v="CUST092"/>
    <s v="North"/>
    <x v="3"/>
    <n v="4"/>
    <n v="241"/>
    <x v="760"/>
  </r>
  <r>
    <s v="ORD00861"/>
    <d v="2024-02-16T00:00:00"/>
    <s v="CUST185"/>
    <s v="South"/>
    <x v="1"/>
    <n v="3"/>
    <n v="198"/>
    <x v="761"/>
  </r>
  <r>
    <s v="ORD00862"/>
    <d v="2023-05-25T00:00:00"/>
    <s v="CUST283"/>
    <s v="West"/>
    <x v="4"/>
    <n v="2"/>
    <n v="327"/>
    <x v="6"/>
  </r>
  <r>
    <s v="ORD00863"/>
    <d v="2024-11-24T00:00:00"/>
    <s v="CUST067"/>
    <s v="East"/>
    <x v="4"/>
    <n v="1"/>
    <n v="123"/>
    <x v="762"/>
  </r>
  <r>
    <s v="ORD00864"/>
    <d v="2023-05-10T00:00:00"/>
    <s v="CUST195"/>
    <s v="South"/>
    <x v="1"/>
    <n v="3"/>
    <n v="836"/>
    <x v="763"/>
  </r>
  <r>
    <s v="ORD00865"/>
    <d v="2023-10-26T00:00:00"/>
    <s v="CUST061"/>
    <s v="East"/>
    <x v="0"/>
    <n v="5"/>
    <n v="323"/>
    <x v="764"/>
  </r>
  <r>
    <s v="ORD00866"/>
    <d v="2023-01-23T00:00:00"/>
    <s v="CUST038"/>
    <s v="West"/>
    <x v="2"/>
    <n v="4"/>
    <n v="601"/>
    <x v="345"/>
  </r>
  <r>
    <s v="ORD00867"/>
    <d v="2023-07-24T00:00:00"/>
    <s v="CUST003"/>
    <s v="North"/>
    <x v="0"/>
    <n v="4"/>
    <n v="753"/>
    <x v="765"/>
  </r>
  <r>
    <s v="ORD00868"/>
    <d v="2024-02-15T00:00:00"/>
    <s v="CUST187"/>
    <s v="South"/>
    <x v="0"/>
    <n v="4"/>
    <n v="330"/>
    <x v="766"/>
  </r>
  <r>
    <s v="ORD00869"/>
    <d v="2023-12-22T00:00:00"/>
    <s v="CUST146"/>
    <s v="South"/>
    <x v="3"/>
    <n v="4"/>
    <n v="104"/>
    <x v="767"/>
  </r>
  <r>
    <s v="ORD00870"/>
    <d v="2023-07-31T00:00:00"/>
    <s v="CUST040"/>
    <s v="East"/>
    <x v="2"/>
    <n v="3"/>
    <n v="197"/>
    <x v="535"/>
  </r>
  <r>
    <s v="ORD00871"/>
    <d v="2023-12-16T00:00:00"/>
    <s v="CUST020"/>
    <s v="South"/>
    <x v="2"/>
    <n v="4"/>
    <n v="573"/>
    <x v="768"/>
  </r>
  <r>
    <s v="ORD00872"/>
    <d v="2024-09-27T00:00:00"/>
    <s v="CUST149"/>
    <s v="East"/>
    <x v="2"/>
    <n v="3"/>
    <n v="1178"/>
    <x v="769"/>
  </r>
  <r>
    <s v="ORD00873"/>
    <d v="2024-06-14T00:00:00"/>
    <s v="CUST289"/>
    <s v="North"/>
    <x v="2"/>
    <n v="4"/>
    <n v="813"/>
    <x v="227"/>
  </r>
  <r>
    <s v="ORD00874"/>
    <d v="2023-10-25T00:00:00"/>
    <s v="CUST150"/>
    <s v="North"/>
    <x v="1"/>
    <n v="1"/>
    <n v="627"/>
    <x v="685"/>
  </r>
  <r>
    <s v="ORD00875"/>
    <d v="2023-09-29T00:00:00"/>
    <s v="CUST041"/>
    <s v="East"/>
    <x v="0"/>
    <n v="4"/>
    <n v="889"/>
    <x v="770"/>
  </r>
  <r>
    <s v="ORD00876"/>
    <d v="2024-09-05T00:00:00"/>
    <s v="CUST135"/>
    <s v="West"/>
    <x v="4"/>
    <n v="1"/>
    <n v="941"/>
    <x v="771"/>
  </r>
  <r>
    <s v="ORD00877"/>
    <d v="2024-04-24T00:00:00"/>
    <s v="CUST101"/>
    <s v="West"/>
    <x v="4"/>
    <n v="3"/>
    <n v="779"/>
    <x v="772"/>
  </r>
  <r>
    <s v="ORD00878"/>
    <d v="2023-04-20T00:00:00"/>
    <s v="CUST223"/>
    <s v="West"/>
    <x v="3"/>
    <n v="2"/>
    <n v="678"/>
    <x v="744"/>
  </r>
  <r>
    <s v="ORD00879"/>
    <d v="2023-07-26T00:00:00"/>
    <s v="CUST191"/>
    <s v="North"/>
    <x v="0"/>
    <n v="5"/>
    <n v="1111"/>
    <x v="740"/>
  </r>
  <r>
    <s v="ORD00880"/>
    <d v="2023-01-18T00:00:00"/>
    <s v="CUST278"/>
    <s v="South"/>
    <x v="4"/>
    <n v="3"/>
    <n v="643"/>
    <x v="773"/>
  </r>
  <r>
    <s v="ORD00881"/>
    <d v="2023-05-02T00:00:00"/>
    <s v="CUST048"/>
    <s v="North"/>
    <x v="4"/>
    <n v="3"/>
    <n v="828"/>
    <x v="774"/>
  </r>
  <r>
    <s v="ORD00882"/>
    <d v="2024-09-11T00:00:00"/>
    <s v="CUST266"/>
    <s v="South"/>
    <x v="3"/>
    <n v="5"/>
    <n v="1146"/>
    <x v="571"/>
  </r>
  <r>
    <s v="ORD00883"/>
    <d v="2024-07-15T00:00:00"/>
    <s v="CUST143"/>
    <s v="West"/>
    <x v="4"/>
    <n v="1"/>
    <n v="1131"/>
    <x v="519"/>
  </r>
  <r>
    <s v="ORD00884"/>
    <d v="2023-11-18T00:00:00"/>
    <s v="CUST240"/>
    <s v="East"/>
    <x v="3"/>
    <n v="3"/>
    <n v="1134"/>
    <x v="775"/>
  </r>
  <r>
    <s v="ORD00885"/>
    <d v="2023-07-29T00:00:00"/>
    <s v="CUST189"/>
    <s v="North"/>
    <x v="1"/>
    <n v="2"/>
    <n v="718"/>
    <x v="776"/>
  </r>
  <r>
    <s v="ORD00886"/>
    <d v="2024-10-18T00:00:00"/>
    <s v="CUST020"/>
    <s v="East"/>
    <x v="1"/>
    <n v="3"/>
    <n v="731"/>
    <x v="777"/>
  </r>
  <r>
    <s v="ORD00887"/>
    <d v="2024-10-30T00:00:00"/>
    <s v="CUST156"/>
    <s v="South"/>
    <x v="0"/>
    <n v="2"/>
    <n v="185"/>
    <x v="778"/>
  </r>
  <r>
    <s v="ORD00888"/>
    <d v="2024-02-11T00:00:00"/>
    <s v="CUST034"/>
    <s v="East"/>
    <x v="4"/>
    <n v="3"/>
    <n v="300"/>
    <x v="779"/>
  </r>
  <r>
    <s v="ORD00889"/>
    <d v="2024-07-24T00:00:00"/>
    <s v="CUST111"/>
    <s v="South"/>
    <x v="1"/>
    <n v="1"/>
    <n v="971"/>
    <x v="780"/>
  </r>
  <r>
    <s v="ORD00890"/>
    <d v="2023-11-28T00:00:00"/>
    <s v="CUST188"/>
    <s v="West"/>
    <x v="1"/>
    <n v="1"/>
    <n v="621"/>
    <x v="781"/>
  </r>
  <r>
    <s v="ORD00891"/>
    <d v="2024-10-08T00:00:00"/>
    <s v="CUST284"/>
    <s v="East"/>
    <x v="3"/>
    <n v="4"/>
    <n v="351"/>
    <x v="782"/>
  </r>
  <r>
    <s v="ORD00892"/>
    <d v="2023-11-13T00:00:00"/>
    <s v="CUST122"/>
    <s v="East"/>
    <x v="3"/>
    <n v="4"/>
    <n v="293"/>
    <x v="698"/>
  </r>
  <r>
    <s v="ORD00893"/>
    <d v="2023-11-24T00:00:00"/>
    <s v="CUST160"/>
    <s v="West"/>
    <x v="4"/>
    <n v="3"/>
    <n v="983"/>
    <x v="783"/>
  </r>
  <r>
    <s v="ORD00894"/>
    <d v="2023-11-10T00:00:00"/>
    <s v="CUST154"/>
    <s v="West"/>
    <x v="4"/>
    <n v="3"/>
    <n v="775"/>
    <x v="63"/>
  </r>
  <r>
    <s v="ORD00895"/>
    <d v="2024-11-30T00:00:00"/>
    <s v="CUST074"/>
    <s v="East"/>
    <x v="3"/>
    <n v="2"/>
    <n v="1140"/>
    <x v="784"/>
  </r>
  <r>
    <s v="ORD00896"/>
    <d v="2024-10-21T00:00:00"/>
    <s v="CUST213"/>
    <s v="East"/>
    <x v="4"/>
    <n v="4"/>
    <n v="501"/>
    <x v="785"/>
  </r>
  <r>
    <s v="ORD00897"/>
    <d v="2024-05-04T00:00:00"/>
    <s v="CUST240"/>
    <s v="North"/>
    <x v="2"/>
    <n v="4"/>
    <n v="685"/>
    <x v="786"/>
  </r>
  <r>
    <s v="ORD00898"/>
    <d v="2024-05-28T00:00:00"/>
    <s v="CUST294"/>
    <s v="North"/>
    <x v="2"/>
    <n v="1"/>
    <n v="222"/>
    <x v="787"/>
  </r>
  <r>
    <s v="ORD00899"/>
    <d v="2023-01-15T00:00:00"/>
    <s v="CUST022"/>
    <s v="North"/>
    <x v="0"/>
    <n v="3"/>
    <n v="237"/>
    <x v="788"/>
  </r>
  <r>
    <s v="ORD00900"/>
    <d v="2023-12-27T00:00:00"/>
    <s v="CUST214"/>
    <s v="West"/>
    <x v="1"/>
    <n v="4"/>
    <n v="112"/>
    <x v="789"/>
  </r>
  <r>
    <s v="ORD00901"/>
    <d v="2023-07-09T00:00:00"/>
    <s v="CUST191"/>
    <s v="East"/>
    <x v="3"/>
    <n v="1"/>
    <n v="137"/>
    <x v="790"/>
  </r>
  <r>
    <s v="ORD00902"/>
    <d v="2024-07-22T00:00:00"/>
    <s v="CUST250"/>
    <s v="North"/>
    <x v="0"/>
    <n v="1"/>
    <n v="262"/>
    <x v="791"/>
  </r>
  <r>
    <s v="ORD00903"/>
    <d v="2023-03-29T00:00:00"/>
    <s v="CUST244"/>
    <s v="North"/>
    <x v="3"/>
    <n v="4"/>
    <n v="1012"/>
    <x v="792"/>
  </r>
  <r>
    <s v="ORD00904"/>
    <d v="2024-06-03T00:00:00"/>
    <s v="CUST006"/>
    <s v="South"/>
    <x v="3"/>
    <n v="3"/>
    <n v="269"/>
    <x v="793"/>
  </r>
  <r>
    <s v="ORD00905"/>
    <d v="2024-03-31T00:00:00"/>
    <s v="CUST061"/>
    <s v="North"/>
    <x v="0"/>
    <n v="5"/>
    <n v="544"/>
    <x v="106"/>
  </r>
  <r>
    <s v="ORD00906"/>
    <d v="2023-04-22T00:00:00"/>
    <s v="CUST048"/>
    <s v="East"/>
    <x v="2"/>
    <n v="2"/>
    <n v="1190"/>
    <x v="471"/>
  </r>
  <r>
    <s v="ORD00907"/>
    <d v="2024-08-10T00:00:00"/>
    <s v="CUST015"/>
    <s v="South"/>
    <x v="3"/>
    <n v="2"/>
    <n v="164"/>
    <x v="794"/>
  </r>
  <r>
    <s v="ORD00908"/>
    <d v="2024-10-07T00:00:00"/>
    <s v="CUST226"/>
    <s v="West"/>
    <x v="0"/>
    <n v="5"/>
    <n v="1179"/>
    <x v="795"/>
  </r>
  <r>
    <s v="ORD00909"/>
    <d v="2023-11-12T00:00:00"/>
    <s v="CUST135"/>
    <s v="West"/>
    <x v="2"/>
    <n v="3"/>
    <n v="806"/>
    <x v="796"/>
  </r>
  <r>
    <s v="ORD00910"/>
    <d v="2023-11-16T00:00:00"/>
    <s v="CUST226"/>
    <s v="North"/>
    <x v="2"/>
    <n v="4"/>
    <n v="307"/>
    <x v="797"/>
  </r>
  <r>
    <s v="ORD00911"/>
    <d v="2023-07-05T00:00:00"/>
    <s v="CUST129"/>
    <s v="West"/>
    <x v="2"/>
    <n v="2"/>
    <n v="285"/>
    <x v="798"/>
  </r>
  <r>
    <s v="ORD00912"/>
    <d v="2024-06-25T00:00:00"/>
    <s v="CUST144"/>
    <s v="South"/>
    <x v="1"/>
    <n v="5"/>
    <n v="459"/>
    <x v="799"/>
  </r>
  <r>
    <s v="ORD00913"/>
    <d v="2024-06-22T00:00:00"/>
    <s v="CUST048"/>
    <s v="West"/>
    <x v="0"/>
    <n v="3"/>
    <n v="924"/>
    <x v="800"/>
  </r>
  <r>
    <s v="ORD00914"/>
    <d v="2024-02-27T00:00:00"/>
    <s v="CUST121"/>
    <s v="North"/>
    <x v="4"/>
    <n v="4"/>
    <n v="991"/>
    <x v="801"/>
  </r>
  <r>
    <s v="ORD00915"/>
    <d v="2023-07-15T00:00:00"/>
    <s v="CUST124"/>
    <s v="East"/>
    <x v="2"/>
    <n v="1"/>
    <n v="803"/>
    <x v="802"/>
  </r>
  <r>
    <s v="ORD00916"/>
    <d v="2023-08-27T00:00:00"/>
    <s v="CUST247"/>
    <s v="South"/>
    <x v="3"/>
    <n v="4"/>
    <n v="369"/>
    <x v="803"/>
  </r>
  <r>
    <s v="ORD00917"/>
    <d v="2024-10-04T00:00:00"/>
    <s v="CUST291"/>
    <s v="South"/>
    <x v="0"/>
    <n v="3"/>
    <n v="682"/>
    <x v="804"/>
  </r>
  <r>
    <s v="ORD00918"/>
    <d v="2023-04-24T00:00:00"/>
    <s v="CUST139"/>
    <s v="East"/>
    <x v="2"/>
    <n v="5"/>
    <n v="807"/>
    <x v="805"/>
  </r>
  <r>
    <s v="ORD00919"/>
    <d v="2024-08-04T00:00:00"/>
    <s v="CUST044"/>
    <s v="North"/>
    <x v="1"/>
    <n v="3"/>
    <n v="988"/>
    <x v="149"/>
  </r>
  <r>
    <s v="ORD00920"/>
    <d v="2023-04-20T00:00:00"/>
    <s v="CUST081"/>
    <s v="West"/>
    <x v="4"/>
    <n v="2"/>
    <n v="442"/>
    <x v="806"/>
  </r>
  <r>
    <s v="ORD00921"/>
    <d v="2024-06-16T00:00:00"/>
    <s v="CUST072"/>
    <s v="East"/>
    <x v="1"/>
    <n v="2"/>
    <n v="315"/>
    <x v="267"/>
  </r>
  <r>
    <s v="ORD00922"/>
    <d v="2024-04-07T00:00:00"/>
    <s v="CUST224"/>
    <s v="North"/>
    <x v="0"/>
    <n v="4"/>
    <n v="888"/>
    <x v="807"/>
  </r>
  <r>
    <s v="ORD00923"/>
    <d v="2024-04-17T00:00:00"/>
    <s v="CUST042"/>
    <s v="West"/>
    <x v="4"/>
    <n v="4"/>
    <n v="114"/>
    <x v="217"/>
  </r>
  <r>
    <s v="ORD00924"/>
    <d v="2024-06-04T00:00:00"/>
    <s v="CUST044"/>
    <s v="North"/>
    <x v="0"/>
    <n v="4"/>
    <n v="800"/>
    <x v="808"/>
  </r>
  <r>
    <s v="ORD00925"/>
    <d v="2024-11-09T00:00:00"/>
    <s v="CUST244"/>
    <s v="West"/>
    <x v="0"/>
    <n v="2"/>
    <n v="770"/>
    <x v="809"/>
  </r>
  <r>
    <s v="ORD00926"/>
    <d v="2024-07-15T00:00:00"/>
    <s v="CUST090"/>
    <s v="South"/>
    <x v="0"/>
    <n v="2"/>
    <n v="716"/>
    <x v="810"/>
  </r>
  <r>
    <s v="ORD00927"/>
    <d v="2023-09-08T00:00:00"/>
    <s v="CUST185"/>
    <s v="West"/>
    <x v="1"/>
    <n v="3"/>
    <n v="786"/>
    <x v="811"/>
  </r>
  <r>
    <s v="ORD00928"/>
    <d v="2024-03-25T00:00:00"/>
    <s v="CUST288"/>
    <s v="West"/>
    <x v="4"/>
    <n v="2"/>
    <n v="1027"/>
    <x v="812"/>
  </r>
  <r>
    <s v="ORD00929"/>
    <d v="2024-08-21T00:00:00"/>
    <s v="CUST221"/>
    <s v="East"/>
    <x v="4"/>
    <n v="4"/>
    <n v="588"/>
    <x v="813"/>
  </r>
  <r>
    <s v="ORD00930"/>
    <d v="2024-08-22T00:00:00"/>
    <s v="CUST226"/>
    <s v="North"/>
    <x v="1"/>
    <n v="5"/>
    <n v="673"/>
    <x v="814"/>
  </r>
  <r>
    <s v="ORD00931"/>
    <d v="2023-03-28T00:00:00"/>
    <s v="CUST236"/>
    <s v="South"/>
    <x v="3"/>
    <n v="1"/>
    <n v="362"/>
    <x v="815"/>
  </r>
  <r>
    <s v="ORD00932"/>
    <d v="2024-08-22T00:00:00"/>
    <s v="CUST203"/>
    <s v="West"/>
    <x v="4"/>
    <n v="2"/>
    <n v="235"/>
    <x v="816"/>
  </r>
  <r>
    <s v="ORD00933"/>
    <d v="2024-06-03T00:00:00"/>
    <s v="CUST048"/>
    <s v="East"/>
    <x v="4"/>
    <n v="4"/>
    <n v="994"/>
    <x v="817"/>
  </r>
  <r>
    <s v="ORD00934"/>
    <d v="2024-02-18T00:00:00"/>
    <s v="CUST119"/>
    <s v="East"/>
    <x v="0"/>
    <n v="3"/>
    <n v="951"/>
    <x v="818"/>
  </r>
  <r>
    <s v="ORD00935"/>
    <d v="2024-09-11T00:00:00"/>
    <s v="CUST222"/>
    <s v="East"/>
    <x v="4"/>
    <n v="4"/>
    <n v="842"/>
    <x v="482"/>
  </r>
  <r>
    <s v="ORD00936"/>
    <d v="2023-04-22T00:00:00"/>
    <s v="CUST285"/>
    <s v="South"/>
    <x v="3"/>
    <n v="2"/>
    <n v="790"/>
    <x v="819"/>
  </r>
  <r>
    <s v="ORD00937"/>
    <d v="2024-05-12T00:00:00"/>
    <s v="CUST024"/>
    <s v="South"/>
    <x v="2"/>
    <n v="4"/>
    <n v="166"/>
    <x v="349"/>
  </r>
  <r>
    <s v="ORD00938"/>
    <d v="2023-11-15T00:00:00"/>
    <s v="CUST175"/>
    <s v="East"/>
    <x v="0"/>
    <n v="5"/>
    <n v="235"/>
    <x v="665"/>
  </r>
  <r>
    <s v="ORD00939"/>
    <d v="2023-07-14T00:00:00"/>
    <s v="CUST136"/>
    <s v="East"/>
    <x v="4"/>
    <n v="5"/>
    <n v="866"/>
    <x v="820"/>
  </r>
  <r>
    <s v="ORD00940"/>
    <d v="2024-08-28T00:00:00"/>
    <s v="CUST158"/>
    <s v="South"/>
    <x v="4"/>
    <n v="5"/>
    <n v="430"/>
    <x v="821"/>
  </r>
  <r>
    <s v="ORD00941"/>
    <d v="2023-11-05T00:00:00"/>
    <s v="CUST219"/>
    <s v="North"/>
    <x v="2"/>
    <n v="5"/>
    <n v="511"/>
    <x v="822"/>
  </r>
  <r>
    <s v="ORD00942"/>
    <d v="2023-09-23T00:00:00"/>
    <s v="CUST216"/>
    <s v="South"/>
    <x v="1"/>
    <n v="3"/>
    <n v="876"/>
    <x v="823"/>
  </r>
  <r>
    <s v="ORD00943"/>
    <d v="2024-09-01T00:00:00"/>
    <s v="CUST149"/>
    <s v="West"/>
    <x v="2"/>
    <n v="2"/>
    <n v="660"/>
    <x v="766"/>
  </r>
  <r>
    <s v="ORD00944"/>
    <d v="2023-01-12T00:00:00"/>
    <s v="CUST289"/>
    <s v="South"/>
    <x v="1"/>
    <n v="3"/>
    <n v="1054"/>
    <x v="169"/>
  </r>
  <r>
    <s v="ORD00945"/>
    <d v="2023-09-02T00:00:00"/>
    <s v="CUST108"/>
    <s v="West"/>
    <x v="1"/>
    <n v="3"/>
    <n v="627"/>
    <x v="824"/>
  </r>
  <r>
    <s v="ORD00946"/>
    <d v="2024-01-04T00:00:00"/>
    <s v="CUST041"/>
    <s v="South"/>
    <x v="2"/>
    <n v="3"/>
    <n v="743"/>
    <x v="825"/>
  </r>
  <r>
    <s v="ORD00947"/>
    <d v="2024-07-25T00:00:00"/>
    <s v="CUST009"/>
    <s v="South"/>
    <x v="3"/>
    <n v="1"/>
    <n v="345"/>
    <x v="826"/>
  </r>
  <r>
    <s v="ORD00948"/>
    <d v="2024-11-14T00:00:00"/>
    <s v="CUST263"/>
    <s v="North"/>
    <x v="4"/>
    <n v="2"/>
    <n v="579"/>
    <x v="827"/>
  </r>
  <r>
    <s v="ORD00949"/>
    <d v="2024-10-04T00:00:00"/>
    <s v="CUST035"/>
    <s v="East"/>
    <x v="1"/>
    <n v="3"/>
    <n v="496"/>
    <x v="828"/>
  </r>
  <r>
    <s v="ORD00950"/>
    <d v="2024-07-27T00:00:00"/>
    <s v="CUST205"/>
    <s v="North"/>
    <x v="2"/>
    <n v="5"/>
    <n v="159"/>
    <x v="829"/>
  </r>
  <r>
    <s v="ORD00951"/>
    <d v="2024-11-11T00:00:00"/>
    <s v="CUST188"/>
    <s v="North"/>
    <x v="0"/>
    <n v="4"/>
    <n v="691"/>
    <x v="830"/>
  </r>
  <r>
    <s v="ORD00952"/>
    <d v="2023-01-04T00:00:00"/>
    <s v="CUST286"/>
    <s v="South"/>
    <x v="1"/>
    <n v="4"/>
    <n v="252"/>
    <x v="831"/>
  </r>
  <r>
    <s v="ORD00953"/>
    <d v="2023-10-22T00:00:00"/>
    <s v="CUST166"/>
    <s v="South"/>
    <x v="1"/>
    <n v="4"/>
    <n v="1082"/>
    <x v="832"/>
  </r>
  <r>
    <s v="ORD00954"/>
    <d v="2024-01-27T00:00:00"/>
    <s v="CUST136"/>
    <s v="South"/>
    <x v="1"/>
    <n v="2"/>
    <n v="505"/>
    <x v="833"/>
  </r>
  <r>
    <s v="ORD00955"/>
    <d v="2023-05-29T00:00:00"/>
    <s v="CUST100"/>
    <s v="West"/>
    <x v="3"/>
    <n v="2"/>
    <n v="331"/>
    <x v="834"/>
  </r>
  <r>
    <s v="ORD00956"/>
    <d v="2024-09-30T00:00:00"/>
    <s v="CUST211"/>
    <s v="North"/>
    <x v="4"/>
    <n v="1"/>
    <n v="1053"/>
    <x v="835"/>
  </r>
  <r>
    <s v="ORD00957"/>
    <d v="2024-08-22T00:00:00"/>
    <s v="CUST157"/>
    <s v="East"/>
    <x v="0"/>
    <n v="2"/>
    <n v="430"/>
    <x v="836"/>
  </r>
  <r>
    <s v="ORD00958"/>
    <d v="2023-05-01T00:00:00"/>
    <s v="CUST068"/>
    <s v="South"/>
    <x v="1"/>
    <n v="4"/>
    <n v="1062"/>
    <x v="745"/>
  </r>
  <r>
    <s v="ORD00959"/>
    <d v="2024-01-06T00:00:00"/>
    <s v="CUST109"/>
    <s v="West"/>
    <x v="0"/>
    <n v="4"/>
    <n v="541"/>
    <x v="380"/>
  </r>
  <r>
    <s v="ORD00960"/>
    <d v="2024-10-10T00:00:00"/>
    <s v="CUST018"/>
    <s v="South"/>
    <x v="3"/>
    <n v="5"/>
    <n v="822"/>
    <x v="837"/>
  </r>
  <r>
    <s v="ORD00961"/>
    <d v="2023-06-25T00:00:00"/>
    <s v="CUST276"/>
    <s v="North"/>
    <x v="1"/>
    <n v="4"/>
    <n v="1142"/>
    <x v="838"/>
  </r>
  <r>
    <s v="ORD00962"/>
    <d v="2023-05-09T00:00:00"/>
    <s v="CUST005"/>
    <s v="West"/>
    <x v="4"/>
    <n v="4"/>
    <n v="717"/>
    <x v="839"/>
  </r>
  <r>
    <s v="ORD00963"/>
    <d v="2023-02-17T00:00:00"/>
    <s v="CUST282"/>
    <s v="East"/>
    <x v="4"/>
    <n v="2"/>
    <n v="1094"/>
    <x v="840"/>
  </r>
  <r>
    <s v="ORD00964"/>
    <d v="2023-10-17T00:00:00"/>
    <s v="CUST250"/>
    <s v="East"/>
    <x v="0"/>
    <n v="1"/>
    <n v="905"/>
    <x v="841"/>
  </r>
  <r>
    <s v="ORD00965"/>
    <d v="2023-01-16T00:00:00"/>
    <s v="CUST269"/>
    <s v="East"/>
    <x v="3"/>
    <n v="2"/>
    <n v="315"/>
    <x v="267"/>
  </r>
  <r>
    <s v="ORD00966"/>
    <d v="2024-04-20T00:00:00"/>
    <s v="CUST236"/>
    <s v="South"/>
    <x v="0"/>
    <n v="3"/>
    <n v="1168"/>
    <x v="151"/>
  </r>
  <r>
    <s v="ORD00967"/>
    <d v="2023-12-30T00:00:00"/>
    <s v="CUST106"/>
    <s v="East"/>
    <x v="3"/>
    <n v="2"/>
    <n v="675"/>
    <x v="842"/>
  </r>
  <r>
    <s v="ORD00968"/>
    <d v="2024-09-09T00:00:00"/>
    <s v="CUST211"/>
    <s v="East"/>
    <x v="2"/>
    <n v="4"/>
    <n v="712"/>
    <x v="843"/>
  </r>
  <r>
    <s v="ORD00969"/>
    <d v="2024-08-16T00:00:00"/>
    <s v="CUST111"/>
    <s v="South"/>
    <x v="0"/>
    <n v="4"/>
    <n v="919"/>
    <x v="844"/>
  </r>
  <r>
    <s v="ORD00970"/>
    <d v="2024-10-06T00:00:00"/>
    <s v="CUST265"/>
    <s v="West"/>
    <x v="3"/>
    <n v="3"/>
    <n v="237"/>
    <x v="788"/>
  </r>
  <r>
    <s v="ORD00971"/>
    <d v="2024-05-06T00:00:00"/>
    <s v="CUST238"/>
    <s v="East"/>
    <x v="2"/>
    <n v="3"/>
    <n v="290"/>
    <x v="573"/>
  </r>
  <r>
    <s v="ORD00972"/>
    <d v="2024-07-19T00:00:00"/>
    <s v="CUST293"/>
    <s v="East"/>
    <x v="2"/>
    <n v="2"/>
    <n v="1011"/>
    <x v="648"/>
  </r>
  <r>
    <s v="ORD00973"/>
    <d v="2024-06-21T00:00:00"/>
    <s v="CUST261"/>
    <s v="West"/>
    <x v="0"/>
    <n v="3"/>
    <n v="178"/>
    <x v="663"/>
  </r>
  <r>
    <s v="ORD00974"/>
    <d v="2023-03-16T00:00:00"/>
    <s v="CUST236"/>
    <s v="East"/>
    <x v="2"/>
    <n v="2"/>
    <n v="696"/>
    <x v="568"/>
  </r>
  <r>
    <s v="ORD00975"/>
    <d v="2024-06-26T00:00:00"/>
    <s v="CUST083"/>
    <s v="East"/>
    <x v="3"/>
    <n v="1"/>
    <n v="992"/>
    <x v="845"/>
  </r>
  <r>
    <s v="ORD00976"/>
    <d v="2023-05-07T00:00:00"/>
    <s v="CUST098"/>
    <s v="North"/>
    <x v="2"/>
    <n v="3"/>
    <n v="318"/>
    <x v="591"/>
  </r>
  <r>
    <s v="ORD00977"/>
    <d v="2024-05-21T00:00:00"/>
    <s v="CUST018"/>
    <s v="North"/>
    <x v="4"/>
    <n v="3"/>
    <n v="899"/>
    <x v="846"/>
  </r>
  <r>
    <s v="ORD00978"/>
    <d v="2024-01-13T00:00:00"/>
    <s v="CUST020"/>
    <s v="South"/>
    <x v="1"/>
    <n v="3"/>
    <n v="949"/>
    <x v="847"/>
  </r>
  <r>
    <s v="ORD00979"/>
    <d v="2024-08-29T00:00:00"/>
    <s v="CUST100"/>
    <s v="North"/>
    <x v="2"/>
    <n v="2"/>
    <n v="282"/>
    <x v="97"/>
  </r>
  <r>
    <s v="ORD00980"/>
    <d v="2024-08-20T00:00:00"/>
    <s v="CUST225"/>
    <s v="North"/>
    <x v="4"/>
    <n v="1"/>
    <n v="497"/>
    <x v="848"/>
  </r>
  <r>
    <s v="ORD00981"/>
    <d v="2024-05-26T00:00:00"/>
    <s v="CUST152"/>
    <s v="East"/>
    <x v="4"/>
    <n v="5"/>
    <n v="212"/>
    <x v="849"/>
  </r>
  <r>
    <s v="ORD00982"/>
    <d v="2023-02-07T00:00:00"/>
    <s v="CUST109"/>
    <s v="North"/>
    <x v="4"/>
    <n v="4"/>
    <n v="900"/>
    <x v="850"/>
  </r>
  <r>
    <s v="ORD00983"/>
    <d v="2023-11-25T00:00:00"/>
    <s v="CUST265"/>
    <s v="North"/>
    <x v="1"/>
    <n v="3"/>
    <n v="860"/>
    <x v="851"/>
  </r>
  <r>
    <s v="ORD00984"/>
    <d v="2024-01-15T00:00:00"/>
    <s v="CUST145"/>
    <s v="West"/>
    <x v="1"/>
    <n v="2"/>
    <n v="380"/>
    <x v="852"/>
  </r>
  <r>
    <s v="ORD00985"/>
    <d v="2023-08-30T00:00:00"/>
    <s v="CUST228"/>
    <s v="North"/>
    <x v="4"/>
    <n v="5"/>
    <n v="274"/>
    <x v="853"/>
  </r>
  <r>
    <s v="ORD00986"/>
    <d v="2024-03-22T00:00:00"/>
    <s v="CUST010"/>
    <s v="West"/>
    <x v="0"/>
    <n v="4"/>
    <n v="452"/>
    <x v="854"/>
  </r>
  <r>
    <s v="ORD00987"/>
    <d v="2023-01-20T00:00:00"/>
    <s v="CUST274"/>
    <s v="East"/>
    <x v="0"/>
    <n v="3"/>
    <n v="1125"/>
    <x v="855"/>
  </r>
  <r>
    <s v="ORD00988"/>
    <d v="2024-09-26T00:00:00"/>
    <s v="CUST228"/>
    <s v="South"/>
    <x v="0"/>
    <n v="2"/>
    <n v="843"/>
    <x v="856"/>
  </r>
  <r>
    <s v="ORD00989"/>
    <d v="2023-03-01T00:00:00"/>
    <s v="CUST204"/>
    <s v="North"/>
    <x v="3"/>
    <n v="1"/>
    <n v="562"/>
    <x v="857"/>
  </r>
  <r>
    <s v="ORD00990"/>
    <d v="2024-01-29T00:00:00"/>
    <s v="CUST170"/>
    <s v="South"/>
    <x v="2"/>
    <n v="4"/>
    <n v="697"/>
    <x v="858"/>
  </r>
  <r>
    <s v="ORD00991"/>
    <d v="2024-03-16T00:00:00"/>
    <s v="CUST224"/>
    <s v="West"/>
    <x v="1"/>
    <n v="5"/>
    <n v="467"/>
    <x v="166"/>
  </r>
  <r>
    <s v="ORD00992"/>
    <d v="2023-06-13T00:00:00"/>
    <s v="CUST100"/>
    <s v="East"/>
    <x v="1"/>
    <n v="5"/>
    <n v="794"/>
    <x v="859"/>
  </r>
  <r>
    <s v="ORD00993"/>
    <d v="2023-03-28T00:00:00"/>
    <s v="CUST024"/>
    <s v="North"/>
    <x v="2"/>
    <n v="2"/>
    <n v="393"/>
    <x v="860"/>
  </r>
  <r>
    <s v="ORD00994"/>
    <d v="2024-08-17T00:00:00"/>
    <s v="CUST299"/>
    <s v="West"/>
    <x v="0"/>
    <n v="3"/>
    <n v="858"/>
    <x v="861"/>
  </r>
  <r>
    <s v="ORD00995"/>
    <d v="2024-09-03T00:00:00"/>
    <s v="CUST043"/>
    <s v="West"/>
    <x v="1"/>
    <n v="4"/>
    <n v="964"/>
    <x v="862"/>
  </r>
  <r>
    <s v="ORD00996"/>
    <d v="2024-03-03T00:00:00"/>
    <s v="CUST044"/>
    <s v="West"/>
    <x v="0"/>
    <n v="3"/>
    <n v="756"/>
    <x v="863"/>
  </r>
  <r>
    <s v="ORD00997"/>
    <d v="2023-01-17T00:00:00"/>
    <s v="CUST175"/>
    <s v="West"/>
    <x v="1"/>
    <n v="5"/>
    <n v="790"/>
    <x v="864"/>
  </r>
  <r>
    <s v="ORD00998"/>
    <d v="2023-05-06T00:00:00"/>
    <s v="CUST253"/>
    <s v="South"/>
    <x v="1"/>
    <n v="4"/>
    <n v="363"/>
    <x v="865"/>
  </r>
  <r>
    <s v="ORD00999"/>
    <d v="2023-09-07T00:00:00"/>
    <s v="CUST190"/>
    <s v="West"/>
    <x v="0"/>
    <n v="5"/>
    <n v="258"/>
    <x v="363"/>
  </r>
  <r>
    <s v="ORD01000"/>
    <d v="2023-03-20T00:00:00"/>
    <s v="CUST074"/>
    <s v="North"/>
    <x v="2"/>
    <n v="2"/>
    <n v="557"/>
    <x v="866"/>
  </r>
  <r>
    <s v="ORD01001"/>
    <d v="2023-05-13T00:00:00"/>
    <s v="CUST298"/>
    <s v="South"/>
    <x v="3"/>
    <n v="3"/>
    <n v="959"/>
    <x v="867"/>
  </r>
  <r>
    <s v="ORD01002"/>
    <d v="2024-08-16T00:00:00"/>
    <s v="CUST275"/>
    <s v="West"/>
    <x v="1"/>
    <n v="2"/>
    <n v="994"/>
    <x v="868"/>
  </r>
  <r>
    <s v="ORD01003"/>
    <d v="2023-08-11T00:00:00"/>
    <s v="CUST260"/>
    <s v="West"/>
    <x v="0"/>
    <n v="3"/>
    <n v="933"/>
    <x v="869"/>
  </r>
  <r>
    <s v="ORD01004"/>
    <d v="2023-03-20T00:00:00"/>
    <s v="CUST189"/>
    <s v="East"/>
    <x v="1"/>
    <n v="2"/>
    <n v="821"/>
    <x v="870"/>
  </r>
  <r>
    <s v="ORD01005"/>
    <d v="2024-07-02T00:00:00"/>
    <s v="CUST137"/>
    <s v="East"/>
    <x v="4"/>
    <n v="2"/>
    <n v="253"/>
    <x v="306"/>
  </r>
  <r>
    <s v="ORD01006"/>
    <d v="2023-02-15T00:00:00"/>
    <s v="CUST058"/>
    <s v="West"/>
    <x v="1"/>
    <n v="4"/>
    <n v="1089"/>
    <x v="871"/>
  </r>
  <r>
    <s v="ORD01007"/>
    <d v="2024-01-30T00:00:00"/>
    <s v="CUST116"/>
    <s v="East"/>
    <x v="2"/>
    <n v="4"/>
    <n v="1005"/>
    <x v="872"/>
  </r>
  <r>
    <s v="ORD01008"/>
    <d v="2023-07-09T00:00:00"/>
    <s v="CUST038"/>
    <s v="South"/>
    <x v="1"/>
    <n v="2"/>
    <n v="514"/>
    <x v="873"/>
  </r>
  <r>
    <s v="ORD01009"/>
    <d v="2024-07-22T00:00:00"/>
    <s v="CUST041"/>
    <s v="South"/>
    <x v="3"/>
    <n v="5"/>
    <n v="210"/>
    <x v="874"/>
  </r>
  <r>
    <s v="ORD01010"/>
    <d v="2024-02-03T00:00:00"/>
    <s v="CUST043"/>
    <s v="West"/>
    <x v="3"/>
    <n v="5"/>
    <n v="1181"/>
    <x v="875"/>
  </r>
  <r>
    <s v="ORD01011"/>
    <d v="2023-06-24T00:00:00"/>
    <s v="CUST056"/>
    <s v="West"/>
    <x v="0"/>
    <n v="1"/>
    <n v="743"/>
    <x v="876"/>
  </r>
  <r>
    <s v="ORD01012"/>
    <d v="2023-03-17T00:00:00"/>
    <s v="CUST103"/>
    <s v="North"/>
    <x v="3"/>
    <n v="5"/>
    <n v="453"/>
    <x v="877"/>
  </r>
  <r>
    <s v="ORD01013"/>
    <d v="2024-10-02T00:00:00"/>
    <s v="CUST210"/>
    <s v="North"/>
    <x v="2"/>
    <n v="2"/>
    <n v="653"/>
    <x v="878"/>
  </r>
  <r>
    <s v="ORD01014"/>
    <d v="2024-11-25T00:00:00"/>
    <s v="CUST015"/>
    <s v="West"/>
    <x v="1"/>
    <n v="4"/>
    <n v="863"/>
    <x v="879"/>
  </r>
  <r>
    <s v="ORD01015"/>
    <d v="2024-01-15T00:00:00"/>
    <s v="CUST290"/>
    <s v="West"/>
    <x v="2"/>
    <n v="2"/>
    <n v="105"/>
    <x v="880"/>
  </r>
  <r>
    <s v="ORD01016"/>
    <d v="2023-09-20T00:00:00"/>
    <s v="CUST107"/>
    <s v="East"/>
    <x v="4"/>
    <n v="4"/>
    <n v="154"/>
    <x v="881"/>
  </r>
  <r>
    <s v="ORD01017"/>
    <d v="2024-10-16T00:00:00"/>
    <s v="CUST138"/>
    <s v="North"/>
    <x v="2"/>
    <n v="4"/>
    <n v="737"/>
    <x v="882"/>
  </r>
  <r>
    <s v="ORD01018"/>
    <d v="2024-03-02T00:00:00"/>
    <s v="CUST161"/>
    <s v="East"/>
    <x v="3"/>
    <n v="3"/>
    <n v="1197"/>
    <x v="883"/>
  </r>
  <r>
    <s v="ORD01019"/>
    <d v="2024-10-29T00:00:00"/>
    <s v="CUST034"/>
    <s v="North"/>
    <x v="2"/>
    <n v="4"/>
    <n v="166"/>
    <x v="349"/>
  </r>
  <r>
    <s v="ORD01020"/>
    <d v="2023-05-27T00:00:00"/>
    <s v="CUST248"/>
    <s v="North"/>
    <x v="3"/>
    <n v="4"/>
    <n v="316"/>
    <x v="884"/>
  </r>
  <r>
    <s v="ORD01021"/>
    <d v="2024-02-24T00:00:00"/>
    <s v="CUST111"/>
    <s v="West"/>
    <x v="2"/>
    <n v="2"/>
    <n v="451"/>
    <x v="885"/>
  </r>
  <r>
    <s v="ORD01022"/>
    <d v="2023-08-26T00:00:00"/>
    <s v="CUST039"/>
    <s v="North"/>
    <x v="4"/>
    <n v="4"/>
    <n v="418"/>
    <x v="886"/>
  </r>
  <r>
    <s v="ORD01023"/>
    <d v="2024-03-09T00:00:00"/>
    <s v="CUST125"/>
    <s v="East"/>
    <x v="2"/>
    <n v="4"/>
    <n v="263"/>
    <x v="325"/>
  </r>
  <r>
    <s v="ORD01024"/>
    <d v="2024-08-16T00:00:00"/>
    <s v="CUST222"/>
    <s v="North"/>
    <x v="3"/>
    <n v="2"/>
    <n v="1087"/>
    <x v="887"/>
  </r>
  <r>
    <s v="ORD01025"/>
    <d v="2024-08-07T00:00:00"/>
    <s v="CUST299"/>
    <s v="West"/>
    <x v="3"/>
    <n v="1"/>
    <n v="810"/>
    <x v="888"/>
  </r>
  <r>
    <s v="ORD01026"/>
    <d v="2024-08-23T00:00:00"/>
    <s v="CUST254"/>
    <s v="North"/>
    <x v="3"/>
    <n v="5"/>
    <n v="845"/>
    <x v="889"/>
  </r>
  <r>
    <s v="ORD01027"/>
    <d v="2023-07-10T00:00:00"/>
    <s v="CUST207"/>
    <s v="West"/>
    <x v="2"/>
    <n v="1"/>
    <n v="226"/>
    <x v="71"/>
  </r>
  <r>
    <s v="ORD01028"/>
    <d v="2023-01-04T00:00:00"/>
    <s v="CUST061"/>
    <s v="South"/>
    <x v="3"/>
    <n v="3"/>
    <n v="348"/>
    <x v="714"/>
  </r>
  <r>
    <s v="ORD01029"/>
    <d v="2023-10-17T00:00:00"/>
    <s v="CUST194"/>
    <s v="South"/>
    <x v="0"/>
    <n v="4"/>
    <n v="636"/>
    <x v="890"/>
  </r>
  <r>
    <s v="ORD01030"/>
    <d v="2024-08-29T00:00:00"/>
    <s v="CUST207"/>
    <s v="East"/>
    <x v="3"/>
    <n v="4"/>
    <n v="742"/>
    <x v="891"/>
  </r>
  <r>
    <s v="ORD01031"/>
    <d v="2024-10-30T00:00:00"/>
    <s v="CUST282"/>
    <s v="South"/>
    <x v="1"/>
    <n v="3"/>
    <n v="965"/>
    <x v="892"/>
  </r>
  <r>
    <s v="ORD01032"/>
    <d v="2023-12-23T00:00:00"/>
    <s v="CUST155"/>
    <s v="South"/>
    <x v="2"/>
    <n v="4"/>
    <n v="270"/>
    <x v="46"/>
  </r>
  <r>
    <s v="ORD01033"/>
    <d v="2023-09-07T00:00:00"/>
    <s v="CUST229"/>
    <s v="South"/>
    <x v="2"/>
    <n v="3"/>
    <n v="303"/>
    <x v="586"/>
  </r>
  <r>
    <s v="ORD01034"/>
    <d v="2024-03-18T00:00:00"/>
    <s v="CUST241"/>
    <s v="West"/>
    <x v="4"/>
    <n v="3"/>
    <n v="899"/>
    <x v="846"/>
  </r>
  <r>
    <s v="ORD01035"/>
    <d v="2023-07-15T00:00:00"/>
    <s v="CUST040"/>
    <s v="South"/>
    <x v="3"/>
    <n v="4"/>
    <n v="793"/>
    <x v="15"/>
  </r>
  <r>
    <s v="ORD01036"/>
    <d v="2024-04-21T00:00:00"/>
    <s v="CUST035"/>
    <s v="East"/>
    <x v="0"/>
    <n v="5"/>
    <n v="1077"/>
    <x v="893"/>
  </r>
  <r>
    <s v="ORD01037"/>
    <d v="2024-04-08T00:00:00"/>
    <s v="CUST280"/>
    <s v="South"/>
    <x v="1"/>
    <n v="1"/>
    <n v="556"/>
    <x v="894"/>
  </r>
  <r>
    <s v="ORD01038"/>
    <d v="2023-08-27T00:00:00"/>
    <s v="CUST194"/>
    <s v="South"/>
    <x v="4"/>
    <n v="2"/>
    <n v="832"/>
    <x v="181"/>
  </r>
  <r>
    <s v="ORD01039"/>
    <d v="2023-07-16T00:00:00"/>
    <s v="CUST164"/>
    <s v="North"/>
    <x v="3"/>
    <n v="5"/>
    <n v="521"/>
    <x v="895"/>
  </r>
  <r>
    <s v="ORD01040"/>
    <d v="2024-02-16T00:00:00"/>
    <s v="CUST077"/>
    <s v="East"/>
    <x v="2"/>
    <n v="2"/>
    <n v="1036"/>
    <x v="896"/>
  </r>
  <r>
    <s v="ORD01041"/>
    <d v="2023-04-13T00:00:00"/>
    <s v="CUST014"/>
    <s v="West"/>
    <x v="2"/>
    <n v="5"/>
    <n v="909"/>
    <x v="897"/>
  </r>
  <r>
    <s v="ORD01042"/>
    <d v="2024-11-01T00:00:00"/>
    <s v="CUST212"/>
    <s v="West"/>
    <x v="1"/>
    <n v="4"/>
    <n v="174"/>
    <x v="118"/>
  </r>
  <r>
    <s v="ORD01043"/>
    <d v="2023-06-30T00:00:00"/>
    <s v="CUST173"/>
    <s v="South"/>
    <x v="1"/>
    <n v="4"/>
    <n v="452"/>
    <x v="854"/>
  </r>
  <r>
    <s v="ORD01044"/>
    <d v="2023-07-10T00:00:00"/>
    <s v="CUST168"/>
    <s v="East"/>
    <x v="2"/>
    <n v="1"/>
    <n v="154"/>
    <x v="898"/>
  </r>
  <r>
    <s v="ORD01045"/>
    <d v="2023-04-05T00:00:00"/>
    <s v="CUST205"/>
    <s v="South"/>
    <x v="2"/>
    <n v="3"/>
    <n v="367"/>
    <x v="899"/>
  </r>
  <r>
    <s v="ORD01046"/>
    <d v="2024-01-11T00:00:00"/>
    <s v="CUST274"/>
    <s v="North"/>
    <x v="2"/>
    <n v="3"/>
    <n v="1166"/>
    <x v="900"/>
  </r>
  <r>
    <s v="ORD01047"/>
    <d v="2024-03-07T00:00:00"/>
    <s v="CUST015"/>
    <s v="East"/>
    <x v="0"/>
    <n v="4"/>
    <n v="1116"/>
    <x v="901"/>
  </r>
  <r>
    <s v="ORD01048"/>
    <d v="2023-01-11T00:00:00"/>
    <s v="CUST047"/>
    <s v="West"/>
    <x v="1"/>
    <n v="3"/>
    <n v="706"/>
    <x v="232"/>
  </r>
  <r>
    <s v="ORD01049"/>
    <d v="2024-11-19T00:00:00"/>
    <s v="CUST097"/>
    <s v="East"/>
    <x v="4"/>
    <n v="3"/>
    <n v="572"/>
    <x v="144"/>
  </r>
  <r>
    <s v="ORD01050"/>
    <d v="2024-07-12T00:00:00"/>
    <s v="CUST029"/>
    <s v="North"/>
    <x v="3"/>
    <n v="2"/>
    <n v="199"/>
    <x v="902"/>
  </r>
  <r>
    <s v="ORD01051"/>
    <d v="2024-04-15T00:00:00"/>
    <s v="CUST129"/>
    <s v="South"/>
    <x v="4"/>
    <n v="3"/>
    <n v="579"/>
    <x v="903"/>
  </r>
  <r>
    <s v="ORD01052"/>
    <d v="2024-09-05T00:00:00"/>
    <s v="CUST056"/>
    <s v="West"/>
    <x v="0"/>
    <n v="3"/>
    <n v="693"/>
    <x v="904"/>
  </r>
  <r>
    <s v="ORD01053"/>
    <d v="2024-04-14T00:00:00"/>
    <s v="CUST180"/>
    <s v="North"/>
    <x v="0"/>
    <n v="2"/>
    <n v="494"/>
    <x v="383"/>
  </r>
  <r>
    <s v="ORD01054"/>
    <d v="2023-09-05T00:00:00"/>
    <s v="CUST043"/>
    <s v="South"/>
    <x v="4"/>
    <n v="4"/>
    <n v="709"/>
    <x v="905"/>
  </r>
  <r>
    <s v="ORD01055"/>
    <d v="2023-11-01T00:00:00"/>
    <s v="CUST280"/>
    <s v="West"/>
    <x v="0"/>
    <n v="5"/>
    <n v="443"/>
    <x v="448"/>
  </r>
  <r>
    <s v="ORD01056"/>
    <d v="2023-10-28T00:00:00"/>
    <s v="CUST224"/>
    <s v="West"/>
    <x v="2"/>
    <n v="3"/>
    <n v="1129"/>
    <x v="268"/>
  </r>
  <r>
    <s v="ORD01057"/>
    <d v="2023-08-27T00:00:00"/>
    <s v="CUST107"/>
    <s v="North"/>
    <x v="2"/>
    <n v="3"/>
    <n v="975"/>
    <x v="906"/>
  </r>
  <r>
    <s v="ORD01058"/>
    <d v="2023-12-02T00:00:00"/>
    <s v="CUST225"/>
    <s v="South"/>
    <x v="4"/>
    <n v="3"/>
    <n v="325"/>
    <x v="907"/>
  </r>
  <r>
    <s v="ORD01059"/>
    <d v="2023-11-08T00:00:00"/>
    <s v="CUST010"/>
    <s v="West"/>
    <x v="4"/>
    <n v="2"/>
    <n v="163"/>
    <x v="908"/>
  </r>
  <r>
    <s v="ORD01060"/>
    <d v="2024-10-19T00:00:00"/>
    <s v="CUST228"/>
    <s v="West"/>
    <x v="1"/>
    <n v="4"/>
    <n v="1075"/>
    <x v="69"/>
  </r>
  <r>
    <s v="ORD01061"/>
    <d v="2024-03-10T00:00:00"/>
    <s v="CUST117"/>
    <s v="North"/>
    <x v="3"/>
    <n v="1"/>
    <n v="867"/>
    <x v="909"/>
  </r>
  <r>
    <s v="ORD01062"/>
    <d v="2024-05-18T00:00:00"/>
    <s v="CUST270"/>
    <s v="West"/>
    <x v="0"/>
    <n v="2"/>
    <n v="1036"/>
    <x v="896"/>
  </r>
  <r>
    <s v="ORD01063"/>
    <d v="2024-02-19T00:00:00"/>
    <s v="CUST238"/>
    <s v="East"/>
    <x v="2"/>
    <n v="4"/>
    <n v="831"/>
    <x v="910"/>
  </r>
  <r>
    <s v="ORD01064"/>
    <d v="2024-07-02T00:00:00"/>
    <s v="CUST092"/>
    <s v="South"/>
    <x v="3"/>
    <n v="3"/>
    <n v="1014"/>
    <x v="911"/>
  </r>
  <r>
    <s v="ORD01065"/>
    <d v="2024-01-15T00:00:00"/>
    <s v="CUST187"/>
    <s v="North"/>
    <x v="3"/>
    <n v="5"/>
    <n v="102"/>
    <x v="709"/>
  </r>
  <r>
    <s v="ORD01066"/>
    <d v="2024-02-10T00:00:00"/>
    <s v="CUST274"/>
    <s v="South"/>
    <x v="3"/>
    <n v="2"/>
    <n v="424"/>
    <x v="737"/>
  </r>
  <r>
    <s v="ORD01067"/>
    <d v="2023-12-25T00:00:00"/>
    <s v="CUST097"/>
    <s v="East"/>
    <x v="2"/>
    <n v="4"/>
    <n v="629"/>
    <x v="912"/>
  </r>
  <r>
    <s v="ORD01068"/>
    <d v="2023-08-27T00:00:00"/>
    <s v="CUST231"/>
    <s v="South"/>
    <x v="2"/>
    <n v="3"/>
    <n v="195"/>
    <x v="913"/>
  </r>
  <r>
    <s v="ORD01069"/>
    <d v="2024-09-25T00:00:00"/>
    <s v="CUST285"/>
    <s v="East"/>
    <x v="2"/>
    <n v="5"/>
    <n v="1031"/>
    <x v="914"/>
  </r>
  <r>
    <s v="ORD01070"/>
    <d v="2024-10-05T00:00:00"/>
    <s v="CUST293"/>
    <s v="North"/>
    <x v="3"/>
    <n v="2"/>
    <n v="814"/>
    <x v="915"/>
  </r>
  <r>
    <s v="ORD01071"/>
    <d v="2023-08-01T00:00:00"/>
    <s v="CUST087"/>
    <s v="North"/>
    <x v="3"/>
    <n v="3"/>
    <n v="998"/>
    <x v="916"/>
  </r>
  <r>
    <s v="ORD01072"/>
    <d v="2023-10-16T00:00:00"/>
    <s v="CUST035"/>
    <s v="North"/>
    <x v="2"/>
    <n v="2"/>
    <n v="167"/>
    <x v="917"/>
  </r>
  <r>
    <s v="ORD01073"/>
    <d v="2023-12-28T00:00:00"/>
    <s v="CUST241"/>
    <s v="South"/>
    <x v="3"/>
    <n v="4"/>
    <n v="889"/>
    <x v="770"/>
  </r>
  <r>
    <s v="ORD01074"/>
    <d v="2023-10-01T00:00:00"/>
    <s v="CUST010"/>
    <s v="South"/>
    <x v="0"/>
    <n v="1"/>
    <n v="233"/>
    <x v="918"/>
  </r>
  <r>
    <s v="ORD01075"/>
    <d v="2023-10-12T00:00:00"/>
    <s v="CUST097"/>
    <s v="North"/>
    <x v="2"/>
    <n v="3"/>
    <n v="416"/>
    <x v="919"/>
  </r>
  <r>
    <s v="ORD01076"/>
    <d v="2024-02-13T00:00:00"/>
    <s v="CUST109"/>
    <s v="South"/>
    <x v="2"/>
    <n v="5"/>
    <n v="1174"/>
    <x v="920"/>
  </r>
  <r>
    <s v="ORD01077"/>
    <d v="2024-02-07T00:00:00"/>
    <s v="CUST127"/>
    <s v="South"/>
    <x v="4"/>
    <n v="4"/>
    <n v="1097"/>
    <x v="921"/>
  </r>
  <r>
    <s v="ORD01078"/>
    <d v="2023-12-16T00:00:00"/>
    <s v="CUST241"/>
    <s v="West"/>
    <x v="0"/>
    <n v="5"/>
    <n v="190"/>
    <x v="922"/>
  </r>
  <r>
    <s v="ORD01079"/>
    <d v="2024-07-30T00:00:00"/>
    <s v="CUST086"/>
    <s v="East"/>
    <x v="1"/>
    <n v="5"/>
    <n v="966"/>
    <x v="923"/>
  </r>
  <r>
    <s v="ORD01080"/>
    <d v="2024-08-13T00:00:00"/>
    <s v="CUST140"/>
    <s v="North"/>
    <x v="4"/>
    <n v="4"/>
    <n v="236"/>
    <x v="924"/>
  </r>
  <r>
    <s v="ORD01081"/>
    <d v="2024-03-30T00:00:00"/>
    <s v="CUST092"/>
    <s v="North"/>
    <x v="3"/>
    <n v="5"/>
    <n v="868"/>
    <x v="468"/>
  </r>
  <r>
    <s v="ORD01082"/>
    <d v="2023-12-05T00:00:00"/>
    <s v="CUST183"/>
    <s v="East"/>
    <x v="1"/>
    <n v="4"/>
    <n v="1166"/>
    <x v="925"/>
  </r>
  <r>
    <s v="ORD01083"/>
    <d v="2024-05-29T00:00:00"/>
    <s v="CUST248"/>
    <s v="East"/>
    <x v="1"/>
    <n v="1"/>
    <n v="632"/>
    <x v="17"/>
  </r>
  <r>
    <s v="ORD01084"/>
    <d v="2024-04-28T00:00:00"/>
    <s v="CUST291"/>
    <s v="West"/>
    <x v="4"/>
    <n v="1"/>
    <n v="195"/>
    <x v="926"/>
  </r>
  <r>
    <s v="ORD01085"/>
    <d v="2023-05-09T00:00:00"/>
    <s v="CUST081"/>
    <s v="North"/>
    <x v="0"/>
    <n v="3"/>
    <n v="1192"/>
    <x v="927"/>
  </r>
  <r>
    <s v="ORD01086"/>
    <d v="2023-08-03T00:00:00"/>
    <s v="CUST165"/>
    <s v="South"/>
    <x v="4"/>
    <n v="2"/>
    <n v="454"/>
    <x v="488"/>
  </r>
  <r>
    <s v="ORD01087"/>
    <d v="2023-12-04T00:00:00"/>
    <s v="CUST253"/>
    <s v="North"/>
    <x v="1"/>
    <n v="3"/>
    <n v="1100"/>
    <x v="928"/>
  </r>
  <r>
    <s v="ORD01088"/>
    <d v="2023-12-12T00:00:00"/>
    <s v="CUST194"/>
    <s v="South"/>
    <x v="1"/>
    <n v="1"/>
    <n v="337"/>
    <x v="929"/>
  </r>
  <r>
    <s v="ORD01089"/>
    <d v="2023-11-21T00:00:00"/>
    <s v="CUST167"/>
    <s v="North"/>
    <x v="4"/>
    <n v="4"/>
    <n v="583"/>
    <x v="588"/>
  </r>
  <r>
    <s v="ORD01090"/>
    <d v="2023-02-13T00:00:00"/>
    <s v="CUST229"/>
    <s v="East"/>
    <x v="4"/>
    <n v="2"/>
    <n v="303"/>
    <x v="254"/>
  </r>
  <r>
    <s v="ORD01091"/>
    <d v="2023-08-20T00:00:00"/>
    <s v="CUST226"/>
    <s v="East"/>
    <x v="4"/>
    <n v="1"/>
    <n v="521"/>
    <x v="930"/>
  </r>
  <r>
    <s v="ORD01092"/>
    <d v="2023-11-29T00:00:00"/>
    <s v="CUST273"/>
    <s v="East"/>
    <x v="4"/>
    <n v="2"/>
    <n v="402"/>
    <x v="506"/>
  </r>
  <r>
    <s v="ORD01093"/>
    <d v="2023-02-16T00:00:00"/>
    <s v="CUST083"/>
    <s v="East"/>
    <x v="1"/>
    <n v="5"/>
    <n v="477"/>
    <x v="931"/>
  </r>
  <r>
    <s v="ORD01094"/>
    <d v="2023-06-08T00:00:00"/>
    <s v="CUST189"/>
    <s v="North"/>
    <x v="4"/>
    <n v="2"/>
    <n v="377"/>
    <x v="666"/>
  </r>
  <r>
    <s v="ORD01095"/>
    <d v="2023-03-24T00:00:00"/>
    <s v="CUST184"/>
    <s v="West"/>
    <x v="4"/>
    <n v="3"/>
    <n v="468"/>
    <x v="782"/>
  </r>
  <r>
    <s v="ORD01096"/>
    <d v="2023-05-21T00:00:00"/>
    <s v="CUST078"/>
    <s v="South"/>
    <x v="2"/>
    <n v="2"/>
    <n v="433"/>
    <x v="932"/>
  </r>
  <r>
    <s v="ORD01097"/>
    <d v="2024-05-02T00:00:00"/>
    <s v="CUST283"/>
    <s v="West"/>
    <x v="4"/>
    <n v="4"/>
    <n v="579"/>
    <x v="668"/>
  </r>
  <r>
    <s v="ORD01098"/>
    <d v="2024-02-09T00:00:00"/>
    <s v="CUST035"/>
    <s v="West"/>
    <x v="0"/>
    <n v="5"/>
    <n v="1070"/>
    <x v="933"/>
  </r>
  <r>
    <s v="ORD01099"/>
    <d v="2023-07-20T00:00:00"/>
    <s v="CUST062"/>
    <s v="West"/>
    <x v="4"/>
    <n v="1"/>
    <n v="457"/>
    <x v="934"/>
  </r>
  <r>
    <s v="ORD01100"/>
    <d v="2024-01-15T00:00:00"/>
    <s v="CUST103"/>
    <s v="West"/>
    <x v="0"/>
    <n v="1"/>
    <n v="727"/>
    <x v="935"/>
  </r>
  <r>
    <s v="ORD01101"/>
    <d v="2023-11-07T00:00:00"/>
    <s v="CUST164"/>
    <s v="South"/>
    <x v="2"/>
    <n v="1"/>
    <n v="548"/>
    <x v="171"/>
  </r>
  <r>
    <s v="ORD01102"/>
    <d v="2024-05-26T00:00:00"/>
    <s v="CUST242"/>
    <s v="East"/>
    <x v="3"/>
    <n v="2"/>
    <n v="658"/>
    <x v="143"/>
  </r>
  <r>
    <s v="ORD01103"/>
    <d v="2023-03-08T00:00:00"/>
    <s v="CUST159"/>
    <s v="North"/>
    <x v="4"/>
    <n v="5"/>
    <n v="1197"/>
    <x v="936"/>
  </r>
  <r>
    <s v="ORD01104"/>
    <d v="2024-07-05T00:00:00"/>
    <s v="CUST174"/>
    <s v="East"/>
    <x v="3"/>
    <n v="5"/>
    <n v="260"/>
    <x v="50"/>
  </r>
  <r>
    <s v="ORD01105"/>
    <d v="2024-02-11T00:00:00"/>
    <s v="CUST168"/>
    <s v="South"/>
    <x v="2"/>
    <n v="2"/>
    <n v="773"/>
    <x v="937"/>
  </r>
  <r>
    <s v="ORD01106"/>
    <d v="2023-06-04T00:00:00"/>
    <s v="CUST021"/>
    <s v="South"/>
    <x v="3"/>
    <n v="5"/>
    <n v="700"/>
    <x v="938"/>
  </r>
  <r>
    <s v="ORD01107"/>
    <d v="2024-02-16T00:00:00"/>
    <s v="CUST293"/>
    <s v="South"/>
    <x v="0"/>
    <n v="2"/>
    <n v="433"/>
    <x v="932"/>
  </r>
  <r>
    <s v="ORD01108"/>
    <d v="2023-10-11T00:00:00"/>
    <s v="CUST126"/>
    <s v="South"/>
    <x v="3"/>
    <n v="1"/>
    <n v="753"/>
    <x v="939"/>
  </r>
  <r>
    <s v="ORD01109"/>
    <d v="2024-08-27T00:00:00"/>
    <s v="CUST212"/>
    <s v="South"/>
    <x v="3"/>
    <n v="5"/>
    <n v="629"/>
    <x v="439"/>
  </r>
  <r>
    <s v="ORD01110"/>
    <d v="2023-06-13T00:00:00"/>
    <s v="CUST139"/>
    <s v="South"/>
    <x v="3"/>
    <n v="2"/>
    <n v="716"/>
    <x v="810"/>
  </r>
  <r>
    <s v="ORD01111"/>
    <d v="2023-08-12T00:00:00"/>
    <s v="CUST283"/>
    <s v="South"/>
    <x v="3"/>
    <n v="4"/>
    <n v="258"/>
    <x v="484"/>
  </r>
  <r>
    <s v="ORD01112"/>
    <d v="2024-01-12T00:00:00"/>
    <s v="CUST132"/>
    <s v="West"/>
    <x v="2"/>
    <n v="3"/>
    <n v="473"/>
    <x v="940"/>
  </r>
  <r>
    <s v="ORD01113"/>
    <d v="2024-09-26T00:00:00"/>
    <s v="CUST057"/>
    <s v="South"/>
    <x v="3"/>
    <n v="1"/>
    <n v="693"/>
    <x v="941"/>
  </r>
  <r>
    <s v="ORD01114"/>
    <d v="2024-04-09T00:00:00"/>
    <s v="CUST093"/>
    <s v="South"/>
    <x v="2"/>
    <n v="4"/>
    <n v="826"/>
    <x v="942"/>
  </r>
  <r>
    <s v="ORD01115"/>
    <d v="2023-08-09T00:00:00"/>
    <s v="CUST197"/>
    <s v="West"/>
    <x v="0"/>
    <n v="5"/>
    <n v="626"/>
    <x v="943"/>
  </r>
  <r>
    <s v="ORD01116"/>
    <d v="2023-11-08T00:00:00"/>
    <s v="CUST051"/>
    <s v="West"/>
    <x v="1"/>
    <n v="2"/>
    <n v="914"/>
    <x v="944"/>
  </r>
  <r>
    <s v="ORD01117"/>
    <d v="2023-12-02T00:00:00"/>
    <s v="CUST290"/>
    <s v="West"/>
    <x v="4"/>
    <n v="4"/>
    <n v="477"/>
    <x v="945"/>
  </r>
  <r>
    <s v="ORD01118"/>
    <d v="2023-02-13T00:00:00"/>
    <s v="CUST097"/>
    <s v="South"/>
    <x v="2"/>
    <n v="3"/>
    <n v="1055"/>
    <x v="946"/>
  </r>
  <r>
    <s v="ORD01119"/>
    <d v="2023-03-08T00:00:00"/>
    <s v="CUST089"/>
    <s v="South"/>
    <x v="4"/>
    <n v="4"/>
    <n v="290"/>
    <x v="947"/>
  </r>
  <r>
    <s v="ORD01120"/>
    <d v="2024-11-09T00:00:00"/>
    <s v="CUST258"/>
    <s v="West"/>
    <x v="4"/>
    <n v="2"/>
    <n v="580"/>
    <x v="947"/>
  </r>
  <r>
    <s v="ORD01121"/>
    <d v="2023-03-17T00:00:00"/>
    <s v="CUST275"/>
    <s v="South"/>
    <x v="1"/>
    <n v="3"/>
    <n v="1159"/>
    <x v="948"/>
  </r>
  <r>
    <s v="ORD01122"/>
    <d v="2024-03-20T00:00:00"/>
    <s v="CUST057"/>
    <s v="West"/>
    <x v="0"/>
    <n v="2"/>
    <n v="926"/>
    <x v="949"/>
  </r>
  <r>
    <s v="ORD01123"/>
    <d v="2024-10-12T00:00:00"/>
    <s v="CUST268"/>
    <s v="North"/>
    <x v="4"/>
    <n v="1"/>
    <n v="1039"/>
    <x v="950"/>
  </r>
  <r>
    <s v="ORD01124"/>
    <d v="2023-09-05T00:00:00"/>
    <s v="CUST136"/>
    <s v="South"/>
    <x v="3"/>
    <n v="3"/>
    <n v="508"/>
    <x v="674"/>
  </r>
  <r>
    <s v="ORD01125"/>
    <d v="2023-10-06T00:00:00"/>
    <s v="CUST124"/>
    <s v="West"/>
    <x v="3"/>
    <n v="2"/>
    <n v="523"/>
    <x v="580"/>
  </r>
  <r>
    <s v="ORD01126"/>
    <d v="2024-06-24T00:00:00"/>
    <s v="CUST180"/>
    <s v="West"/>
    <x v="1"/>
    <n v="2"/>
    <n v="109"/>
    <x v="951"/>
  </r>
  <r>
    <s v="ORD01127"/>
    <d v="2023-08-31T00:00:00"/>
    <s v="CUST073"/>
    <s v="North"/>
    <x v="4"/>
    <n v="1"/>
    <n v="837"/>
    <x v="952"/>
  </r>
  <r>
    <s v="ORD01128"/>
    <d v="2023-01-22T00:00:00"/>
    <s v="CUST134"/>
    <s v="West"/>
    <x v="2"/>
    <n v="1"/>
    <n v="235"/>
    <x v="953"/>
  </r>
  <r>
    <s v="ORD01129"/>
    <d v="2024-05-24T00:00:00"/>
    <s v="CUST163"/>
    <s v="North"/>
    <x v="0"/>
    <n v="4"/>
    <n v="697"/>
    <x v="858"/>
  </r>
  <r>
    <s v="ORD01130"/>
    <d v="2024-09-22T00:00:00"/>
    <s v="CUST056"/>
    <s v="West"/>
    <x v="3"/>
    <n v="3"/>
    <n v="311"/>
    <x v="954"/>
  </r>
  <r>
    <s v="ORD01131"/>
    <d v="2023-12-13T00:00:00"/>
    <s v="CUST118"/>
    <s v="South"/>
    <x v="4"/>
    <n v="4"/>
    <n v="368"/>
    <x v="955"/>
  </r>
  <r>
    <s v="ORD01132"/>
    <d v="2024-04-11T00:00:00"/>
    <s v="CUST028"/>
    <s v="North"/>
    <x v="3"/>
    <n v="1"/>
    <n v="944"/>
    <x v="924"/>
  </r>
  <r>
    <s v="ORD01133"/>
    <d v="2023-03-27T00:00:00"/>
    <s v="CUST224"/>
    <s v="North"/>
    <x v="0"/>
    <n v="2"/>
    <n v="141"/>
    <x v="956"/>
  </r>
  <r>
    <s v="ORD01134"/>
    <d v="2023-04-09T00:00:00"/>
    <s v="CUST002"/>
    <s v="North"/>
    <x v="2"/>
    <n v="3"/>
    <n v="531"/>
    <x v="957"/>
  </r>
  <r>
    <s v="ORD01135"/>
    <d v="2024-06-25T00:00:00"/>
    <s v="CUST270"/>
    <s v="South"/>
    <x v="4"/>
    <n v="1"/>
    <n v="790"/>
    <x v="479"/>
  </r>
  <r>
    <s v="ORD01136"/>
    <d v="2023-02-05T00:00:00"/>
    <s v="CUST155"/>
    <s v="North"/>
    <x v="3"/>
    <n v="2"/>
    <n v="796"/>
    <x v="958"/>
  </r>
  <r>
    <s v="ORD01137"/>
    <d v="2023-03-26T00:00:00"/>
    <s v="CUST111"/>
    <s v="North"/>
    <x v="1"/>
    <n v="5"/>
    <n v="392"/>
    <x v="959"/>
  </r>
  <r>
    <s v="ORD01138"/>
    <d v="2024-06-13T00:00:00"/>
    <s v="CUST141"/>
    <s v="North"/>
    <x v="4"/>
    <n v="5"/>
    <n v="1110"/>
    <x v="960"/>
  </r>
  <r>
    <s v="ORD01139"/>
    <d v="2023-04-20T00:00:00"/>
    <s v="CUST039"/>
    <s v="West"/>
    <x v="3"/>
    <n v="5"/>
    <n v="555"/>
    <x v="961"/>
  </r>
  <r>
    <s v="ORD01140"/>
    <d v="2023-12-15T00:00:00"/>
    <s v="CUST167"/>
    <s v="West"/>
    <x v="4"/>
    <n v="2"/>
    <n v="253"/>
    <x v="306"/>
  </r>
  <r>
    <s v="ORD01141"/>
    <d v="2023-07-03T00:00:00"/>
    <s v="CUST160"/>
    <s v="West"/>
    <x v="4"/>
    <n v="4"/>
    <n v="211"/>
    <x v="432"/>
  </r>
  <r>
    <s v="ORD01142"/>
    <d v="2023-09-27T00:00:00"/>
    <s v="CUST212"/>
    <s v="North"/>
    <x v="4"/>
    <n v="2"/>
    <n v="921"/>
    <x v="553"/>
  </r>
  <r>
    <s v="ORD01143"/>
    <d v="2023-02-09T00:00:00"/>
    <s v="CUST018"/>
    <s v="West"/>
    <x v="4"/>
    <n v="4"/>
    <n v="114"/>
    <x v="217"/>
  </r>
  <r>
    <s v="ORD01144"/>
    <d v="2023-01-24T00:00:00"/>
    <s v="CUST299"/>
    <s v="East"/>
    <x v="2"/>
    <n v="2"/>
    <n v="497"/>
    <x v="962"/>
  </r>
  <r>
    <s v="ORD01145"/>
    <d v="2024-06-04T00:00:00"/>
    <s v="CUST124"/>
    <s v="North"/>
    <x v="1"/>
    <n v="5"/>
    <n v="1070"/>
    <x v="933"/>
  </r>
  <r>
    <s v="ORD01146"/>
    <d v="2023-11-09T00:00:00"/>
    <s v="CUST228"/>
    <s v="West"/>
    <x v="0"/>
    <n v="3"/>
    <n v="374"/>
    <x v="99"/>
  </r>
  <r>
    <s v="ORD01147"/>
    <d v="2023-01-25T00:00:00"/>
    <s v="CUST277"/>
    <s v="North"/>
    <x v="2"/>
    <n v="1"/>
    <n v="510"/>
    <x v="709"/>
  </r>
  <r>
    <s v="ORD01148"/>
    <d v="2024-11-05T00:00:00"/>
    <s v="CUST252"/>
    <s v="North"/>
    <x v="2"/>
    <n v="3"/>
    <n v="281"/>
    <x v="963"/>
  </r>
  <r>
    <s v="ORD01149"/>
    <d v="2023-07-21T00:00:00"/>
    <s v="CUST033"/>
    <s v="North"/>
    <x v="4"/>
    <n v="1"/>
    <n v="1015"/>
    <x v="964"/>
  </r>
  <r>
    <s v="ORD01150"/>
    <d v="2024-03-09T00:00:00"/>
    <s v="CUST137"/>
    <s v="South"/>
    <x v="0"/>
    <n v="5"/>
    <n v="1125"/>
    <x v="965"/>
  </r>
  <r>
    <s v="ORD01151"/>
    <d v="2023-04-06T00:00:00"/>
    <s v="CUST010"/>
    <s v="East"/>
    <x v="4"/>
    <n v="4"/>
    <n v="632"/>
    <x v="966"/>
  </r>
  <r>
    <s v="ORD01152"/>
    <d v="2024-05-20T00:00:00"/>
    <s v="CUST129"/>
    <s v="East"/>
    <x v="1"/>
    <n v="3"/>
    <n v="263"/>
    <x v="669"/>
  </r>
  <r>
    <s v="ORD01153"/>
    <d v="2023-01-19T00:00:00"/>
    <s v="CUST132"/>
    <s v="East"/>
    <x v="2"/>
    <n v="4"/>
    <n v="1176"/>
    <x v="967"/>
  </r>
  <r>
    <s v="ORD01154"/>
    <d v="2024-06-11T00:00:00"/>
    <s v="CUST300"/>
    <s v="West"/>
    <x v="0"/>
    <n v="2"/>
    <n v="462"/>
    <x v="968"/>
  </r>
  <r>
    <s v="ORD01155"/>
    <d v="2023-11-30T00:00:00"/>
    <s v="CUST236"/>
    <s v="South"/>
    <x v="2"/>
    <n v="5"/>
    <n v="870"/>
    <x v="969"/>
  </r>
  <r>
    <s v="ORD01156"/>
    <d v="2024-04-22T00:00:00"/>
    <s v="CUST290"/>
    <s v="East"/>
    <x v="4"/>
    <n v="3"/>
    <n v="898"/>
    <x v="970"/>
  </r>
  <r>
    <s v="ORD01157"/>
    <d v="2023-12-16T00:00:00"/>
    <s v="CUST262"/>
    <s v="East"/>
    <x v="3"/>
    <n v="1"/>
    <n v="268"/>
    <x v="971"/>
  </r>
  <r>
    <s v="ORD01158"/>
    <d v="2023-03-27T00:00:00"/>
    <s v="CUST166"/>
    <s v="North"/>
    <x v="1"/>
    <n v="4"/>
    <n v="110"/>
    <x v="414"/>
  </r>
  <r>
    <s v="ORD01159"/>
    <d v="2023-05-27T00:00:00"/>
    <s v="CUST110"/>
    <s v="North"/>
    <x v="1"/>
    <n v="3"/>
    <n v="855"/>
    <x v="972"/>
  </r>
  <r>
    <s v="ORD01160"/>
    <d v="2023-04-26T00:00:00"/>
    <s v="CUST263"/>
    <s v="West"/>
    <x v="0"/>
    <n v="3"/>
    <n v="131"/>
    <x v="973"/>
  </r>
  <r>
    <s v="ORD01161"/>
    <d v="2024-06-06T00:00:00"/>
    <s v="CUST037"/>
    <s v="West"/>
    <x v="4"/>
    <n v="1"/>
    <n v="1020"/>
    <x v="974"/>
  </r>
  <r>
    <s v="ORD01162"/>
    <d v="2024-10-31T00:00:00"/>
    <s v="CUST224"/>
    <s v="West"/>
    <x v="3"/>
    <n v="4"/>
    <n v="1194"/>
    <x v="975"/>
  </r>
  <r>
    <s v="ORD01163"/>
    <d v="2023-12-07T00:00:00"/>
    <s v="CUST034"/>
    <s v="North"/>
    <x v="0"/>
    <n v="5"/>
    <n v="633"/>
    <x v="946"/>
  </r>
  <r>
    <s v="ORD01164"/>
    <d v="2023-02-10T00:00:00"/>
    <s v="CUST216"/>
    <s v="West"/>
    <x v="1"/>
    <n v="1"/>
    <n v="962"/>
    <x v="976"/>
  </r>
  <r>
    <s v="ORD01165"/>
    <d v="2023-06-07T00:00:00"/>
    <s v="CUST132"/>
    <s v="North"/>
    <x v="0"/>
    <n v="2"/>
    <n v="1183"/>
    <x v="977"/>
  </r>
  <r>
    <s v="ORD01166"/>
    <d v="2023-04-05T00:00:00"/>
    <s v="CUST031"/>
    <s v="South"/>
    <x v="1"/>
    <n v="1"/>
    <n v="428"/>
    <x v="313"/>
  </r>
  <r>
    <s v="ORD01167"/>
    <d v="2024-02-23T00:00:00"/>
    <s v="CUST153"/>
    <s v="North"/>
    <x v="2"/>
    <n v="3"/>
    <n v="619"/>
    <x v="978"/>
  </r>
  <r>
    <s v="ORD01168"/>
    <d v="2023-02-10T00:00:00"/>
    <s v="CUST271"/>
    <s v="South"/>
    <x v="0"/>
    <n v="5"/>
    <n v="130"/>
    <x v="979"/>
  </r>
  <r>
    <s v="ORD01169"/>
    <d v="2023-02-24T00:00:00"/>
    <s v="CUST013"/>
    <s v="South"/>
    <x v="0"/>
    <n v="1"/>
    <n v="252"/>
    <x v="980"/>
  </r>
  <r>
    <s v="ORD01170"/>
    <d v="2023-04-27T00:00:00"/>
    <s v="CUST264"/>
    <s v="West"/>
    <x v="0"/>
    <n v="4"/>
    <n v="471"/>
    <x v="497"/>
  </r>
  <r>
    <s v="ORD01171"/>
    <d v="2024-06-07T00:00:00"/>
    <s v="CUST107"/>
    <s v="South"/>
    <x v="1"/>
    <n v="1"/>
    <n v="171"/>
    <x v="981"/>
  </r>
  <r>
    <s v="ORD01172"/>
    <d v="2024-10-04T00:00:00"/>
    <s v="CUST285"/>
    <s v="South"/>
    <x v="1"/>
    <n v="3"/>
    <n v="143"/>
    <x v="982"/>
  </r>
  <r>
    <s v="ORD01173"/>
    <d v="2024-05-17T00:00:00"/>
    <s v="CUST102"/>
    <s v="South"/>
    <x v="4"/>
    <n v="1"/>
    <n v="574"/>
    <x v="983"/>
  </r>
  <r>
    <s v="ORD01174"/>
    <d v="2023-01-06T00:00:00"/>
    <s v="CUST252"/>
    <s v="South"/>
    <x v="4"/>
    <n v="4"/>
    <n v="1116"/>
    <x v="901"/>
  </r>
  <r>
    <s v="ORD01175"/>
    <d v="2023-01-04T00:00:00"/>
    <s v="CUST120"/>
    <s v="North"/>
    <x v="4"/>
    <n v="4"/>
    <n v="220"/>
    <x v="533"/>
  </r>
  <r>
    <s v="ORD01176"/>
    <d v="2023-10-05T00:00:00"/>
    <s v="CUST199"/>
    <s v="East"/>
    <x v="3"/>
    <n v="5"/>
    <n v="851"/>
    <x v="984"/>
  </r>
  <r>
    <s v="ORD01177"/>
    <d v="2024-01-02T00:00:00"/>
    <s v="CUST220"/>
    <s v="West"/>
    <x v="4"/>
    <n v="4"/>
    <n v="176"/>
    <x v="985"/>
  </r>
  <r>
    <s v="ORD01178"/>
    <d v="2024-09-20T00:00:00"/>
    <s v="CUST101"/>
    <s v="South"/>
    <x v="1"/>
    <n v="5"/>
    <n v="1029"/>
    <x v="986"/>
  </r>
  <r>
    <s v="ORD01179"/>
    <d v="2023-10-03T00:00:00"/>
    <s v="CUST202"/>
    <s v="North"/>
    <x v="0"/>
    <n v="3"/>
    <n v="369"/>
    <x v="987"/>
  </r>
  <r>
    <s v="ORD01180"/>
    <d v="2023-06-30T00:00:00"/>
    <s v="CUST100"/>
    <s v="South"/>
    <x v="2"/>
    <n v="3"/>
    <n v="826"/>
    <x v="988"/>
  </r>
  <r>
    <s v="ORD01181"/>
    <d v="2024-05-20T00:00:00"/>
    <s v="CUST071"/>
    <s v="North"/>
    <x v="0"/>
    <n v="3"/>
    <n v="181"/>
    <x v="989"/>
  </r>
  <r>
    <s v="ORD01182"/>
    <d v="2023-06-29T00:00:00"/>
    <s v="CUST108"/>
    <s v="South"/>
    <x v="2"/>
    <n v="2"/>
    <n v="514"/>
    <x v="873"/>
  </r>
  <r>
    <s v="ORD01183"/>
    <d v="2024-02-24T00:00:00"/>
    <s v="CUST036"/>
    <s v="South"/>
    <x v="2"/>
    <n v="2"/>
    <n v="303"/>
    <x v="254"/>
  </r>
  <r>
    <s v="ORD01184"/>
    <d v="2023-01-29T00:00:00"/>
    <s v="CUST017"/>
    <s v="North"/>
    <x v="0"/>
    <n v="5"/>
    <n v="921"/>
    <x v="990"/>
  </r>
  <r>
    <s v="ORD01185"/>
    <d v="2023-09-26T00:00:00"/>
    <s v="CUST298"/>
    <s v="East"/>
    <x v="4"/>
    <n v="2"/>
    <n v="699"/>
    <x v="991"/>
  </r>
  <r>
    <s v="ORD01186"/>
    <d v="2024-08-28T00:00:00"/>
    <s v="CUST105"/>
    <s v="West"/>
    <x v="1"/>
    <n v="2"/>
    <n v="1125"/>
    <x v="992"/>
  </r>
  <r>
    <s v="ORD01187"/>
    <d v="2024-01-14T00:00:00"/>
    <s v="CUST028"/>
    <s v="East"/>
    <x v="1"/>
    <n v="2"/>
    <n v="352"/>
    <x v="985"/>
  </r>
  <r>
    <s v="ORD01188"/>
    <d v="2024-06-27T00:00:00"/>
    <s v="CUST251"/>
    <s v="East"/>
    <x v="4"/>
    <n v="3"/>
    <n v="305"/>
    <x v="993"/>
  </r>
  <r>
    <s v="ORD01189"/>
    <d v="2024-03-09T00:00:00"/>
    <s v="CUST071"/>
    <s v="East"/>
    <x v="3"/>
    <n v="3"/>
    <n v="967"/>
    <x v="994"/>
  </r>
  <r>
    <s v="ORD01190"/>
    <d v="2023-09-02T00:00:00"/>
    <s v="CUST161"/>
    <s v="East"/>
    <x v="1"/>
    <n v="2"/>
    <n v="814"/>
    <x v="915"/>
  </r>
  <r>
    <s v="ORD01191"/>
    <d v="2024-01-04T00:00:00"/>
    <s v="CUST242"/>
    <s v="North"/>
    <x v="4"/>
    <n v="4"/>
    <n v="246"/>
    <x v="995"/>
  </r>
  <r>
    <s v="ORD01192"/>
    <d v="2023-06-13T00:00:00"/>
    <s v="CUST080"/>
    <s v="North"/>
    <x v="3"/>
    <n v="4"/>
    <n v="1038"/>
    <x v="996"/>
  </r>
  <r>
    <s v="ORD01193"/>
    <d v="2023-07-26T00:00:00"/>
    <s v="CUST081"/>
    <s v="East"/>
    <x v="0"/>
    <n v="2"/>
    <n v="192"/>
    <x v="997"/>
  </r>
  <r>
    <s v="ORD01194"/>
    <d v="2024-05-18T00:00:00"/>
    <s v="CUST021"/>
    <s v="South"/>
    <x v="4"/>
    <n v="1"/>
    <n v="142"/>
    <x v="998"/>
  </r>
  <r>
    <s v="ORD01195"/>
    <d v="2023-08-17T00:00:00"/>
    <s v="CUST151"/>
    <s v="South"/>
    <x v="0"/>
    <n v="2"/>
    <n v="211"/>
    <x v="999"/>
  </r>
  <r>
    <s v="ORD01196"/>
    <d v="2024-10-08T00:00:00"/>
    <s v="CUST195"/>
    <s v="South"/>
    <x v="4"/>
    <n v="5"/>
    <n v="1022"/>
    <x v="1000"/>
  </r>
  <r>
    <s v="ORD01197"/>
    <d v="2023-11-05T00:00:00"/>
    <s v="CUST299"/>
    <s v="East"/>
    <x v="4"/>
    <n v="4"/>
    <n v="468"/>
    <x v="1001"/>
  </r>
  <r>
    <s v="ORD01198"/>
    <d v="2024-11-02T00:00:00"/>
    <s v="CUST267"/>
    <s v="South"/>
    <x v="4"/>
    <n v="3"/>
    <n v="748"/>
    <x v="303"/>
  </r>
  <r>
    <s v="ORD01199"/>
    <d v="2023-05-21T00:00:00"/>
    <s v="CUST179"/>
    <s v="North"/>
    <x v="2"/>
    <n v="4"/>
    <n v="983"/>
    <x v="1002"/>
  </r>
  <r>
    <s v="ORD01200"/>
    <d v="2024-06-10T00:00:00"/>
    <s v="CUST281"/>
    <s v="East"/>
    <x v="1"/>
    <n v="3"/>
    <n v="564"/>
    <x v="539"/>
  </r>
  <r>
    <s v="ORD01201"/>
    <d v="2024-05-26T00:00:00"/>
    <s v="CUST286"/>
    <s v="West"/>
    <x v="4"/>
    <n v="5"/>
    <n v="1161"/>
    <x v="570"/>
  </r>
  <r>
    <s v="ORD01202"/>
    <d v="2023-12-16T00:00:00"/>
    <s v="CUST222"/>
    <s v="West"/>
    <x v="3"/>
    <n v="1"/>
    <n v="260"/>
    <x v="318"/>
  </r>
  <r>
    <s v="ORD01203"/>
    <d v="2023-10-08T00:00:00"/>
    <s v="CUST156"/>
    <s v="West"/>
    <x v="2"/>
    <n v="5"/>
    <n v="614"/>
    <x v="1003"/>
  </r>
  <r>
    <s v="ORD01204"/>
    <d v="2023-12-12T00:00:00"/>
    <s v="CUST045"/>
    <s v="North"/>
    <x v="1"/>
    <n v="1"/>
    <n v="772"/>
    <x v="1004"/>
  </r>
  <r>
    <s v="ORD01205"/>
    <d v="2024-08-26T00:00:00"/>
    <s v="CUST299"/>
    <s v="North"/>
    <x v="4"/>
    <n v="3"/>
    <n v="696"/>
    <x v="673"/>
  </r>
  <r>
    <s v="ORD01206"/>
    <d v="2023-01-21T00:00:00"/>
    <s v="CUST169"/>
    <s v="South"/>
    <x v="1"/>
    <n v="3"/>
    <n v="672"/>
    <x v="1005"/>
  </r>
  <r>
    <s v="ORD01207"/>
    <d v="2024-03-10T00:00:00"/>
    <s v="CUST140"/>
    <s v="West"/>
    <x v="2"/>
    <n v="1"/>
    <n v="1163"/>
    <x v="1006"/>
  </r>
  <r>
    <s v="ORD01208"/>
    <d v="2023-01-01T00:00:00"/>
    <s v="CUST142"/>
    <s v="East"/>
    <x v="2"/>
    <n v="5"/>
    <n v="894"/>
    <x v="1007"/>
  </r>
  <r>
    <s v="ORD01209"/>
    <d v="2023-05-31T00:00:00"/>
    <s v="CUST282"/>
    <s v="North"/>
    <x v="0"/>
    <n v="4"/>
    <n v="954"/>
    <x v="247"/>
  </r>
  <r>
    <s v="ORD01210"/>
    <d v="2023-09-24T00:00:00"/>
    <s v="CUST106"/>
    <s v="East"/>
    <x v="2"/>
    <n v="4"/>
    <n v="148"/>
    <x v="1008"/>
  </r>
  <r>
    <s v="ORD01211"/>
    <d v="2023-01-06T00:00:00"/>
    <s v="CUST259"/>
    <s v="North"/>
    <x v="3"/>
    <n v="4"/>
    <n v="343"/>
    <x v="1009"/>
  </r>
  <r>
    <s v="ORD01212"/>
    <d v="2023-09-24T00:00:00"/>
    <s v="CUST286"/>
    <s v="South"/>
    <x v="3"/>
    <n v="3"/>
    <n v="331"/>
    <x v="1010"/>
  </r>
  <r>
    <s v="ORD01213"/>
    <d v="2024-11-29T00:00:00"/>
    <s v="CUST230"/>
    <s v="West"/>
    <x v="2"/>
    <n v="1"/>
    <n v="1031"/>
    <x v="1011"/>
  </r>
  <r>
    <s v="ORD01214"/>
    <d v="2023-07-22T00:00:00"/>
    <s v="CUST095"/>
    <s v="South"/>
    <x v="3"/>
    <n v="5"/>
    <n v="658"/>
    <x v="1012"/>
  </r>
  <r>
    <s v="ORD01215"/>
    <d v="2023-09-30T00:00:00"/>
    <s v="CUST114"/>
    <s v="East"/>
    <x v="1"/>
    <n v="3"/>
    <n v="833"/>
    <x v="1013"/>
  </r>
  <r>
    <s v="ORD01216"/>
    <d v="2024-02-20T00:00:00"/>
    <s v="CUST158"/>
    <s v="North"/>
    <x v="0"/>
    <n v="3"/>
    <n v="929"/>
    <x v="1014"/>
  </r>
  <r>
    <s v="ORD01217"/>
    <d v="2024-11-06T00:00:00"/>
    <s v="CUST161"/>
    <s v="North"/>
    <x v="0"/>
    <n v="1"/>
    <n v="854"/>
    <x v="1015"/>
  </r>
  <r>
    <s v="ORD01218"/>
    <d v="2024-06-05T00:00:00"/>
    <s v="CUST215"/>
    <s v="West"/>
    <x v="1"/>
    <n v="4"/>
    <n v="1168"/>
    <x v="1016"/>
  </r>
  <r>
    <s v="ORD01219"/>
    <d v="2023-09-22T00:00:00"/>
    <s v="CUST076"/>
    <s v="North"/>
    <x v="0"/>
    <n v="2"/>
    <n v="628"/>
    <x v="1017"/>
  </r>
  <r>
    <s v="ORD01220"/>
    <d v="2023-04-07T00:00:00"/>
    <s v="CUST086"/>
    <s v="East"/>
    <x v="4"/>
    <n v="5"/>
    <n v="690"/>
    <x v="1018"/>
  </r>
  <r>
    <s v="ORD01221"/>
    <d v="2024-10-14T00:00:00"/>
    <s v="CUST291"/>
    <s v="West"/>
    <x v="2"/>
    <n v="1"/>
    <n v="845"/>
    <x v="1019"/>
  </r>
  <r>
    <s v="ORD01222"/>
    <d v="2024-04-02T00:00:00"/>
    <s v="CUST014"/>
    <s v="North"/>
    <x v="3"/>
    <n v="2"/>
    <n v="304"/>
    <x v="1020"/>
  </r>
  <r>
    <s v="ORD01223"/>
    <d v="2023-04-17T00:00:00"/>
    <s v="CUST078"/>
    <s v="North"/>
    <x v="4"/>
    <n v="4"/>
    <n v="683"/>
    <x v="1021"/>
  </r>
  <r>
    <s v="ORD01224"/>
    <d v="2023-06-25T00:00:00"/>
    <s v="CUST135"/>
    <s v="West"/>
    <x v="4"/>
    <n v="1"/>
    <n v="742"/>
    <x v="1022"/>
  </r>
  <r>
    <s v="ORD01225"/>
    <d v="2023-08-30T00:00:00"/>
    <s v="CUST241"/>
    <s v="North"/>
    <x v="0"/>
    <n v="2"/>
    <n v="674"/>
    <x v="1023"/>
  </r>
  <r>
    <s v="ORD01226"/>
    <d v="2024-02-10T00:00:00"/>
    <s v="CUST101"/>
    <s v="West"/>
    <x v="0"/>
    <n v="1"/>
    <n v="234"/>
    <x v="1024"/>
  </r>
  <r>
    <s v="ORD01227"/>
    <d v="2024-02-27T00:00:00"/>
    <s v="CUST282"/>
    <s v="East"/>
    <x v="4"/>
    <n v="2"/>
    <n v="894"/>
    <x v="1025"/>
  </r>
  <r>
    <s v="ORD01228"/>
    <d v="2023-10-28T00:00:00"/>
    <s v="CUST025"/>
    <s v="North"/>
    <x v="1"/>
    <n v="5"/>
    <n v="1167"/>
    <x v="1026"/>
  </r>
  <r>
    <s v="ORD01229"/>
    <d v="2024-09-26T00:00:00"/>
    <s v="CUST285"/>
    <s v="South"/>
    <x v="0"/>
    <n v="5"/>
    <n v="360"/>
    <x v="1027"/>
  </r>
  <r>
    <s v="ORD01230"/>
    <d v="2023-01-01T00:00:00"/>
    <s v="CUST291"/>
    <s v="West"/>
    <x v="0"/>
    <n v="1"/>
    <n v="335"/>
    <x v="1028"/>
  </r>
  <r>
    <s v="ORD01231"/>
    <d v="2023-06-05T00:00:00"/>
    <s v="CUST144"/>
    <s v="East"/>
    <x v="0"/>
    <n v="5"/>
    <n v="588"/>
    <x v="1029"/>
  </r>
  <r>
    <s v="ORD01232"/>
    <d v="2024-05-15T00:00:00"/>
    <s v="CUST059"/>
    <s v="South"/>
    <x v="1"/>
    <n v="3"/>
    <n v="887"/>
    <x v="1030"/>
  </r>
  <r>
    <s v="ORD01233"/>
    <d v="2023-09-28T00:00:00"/>
    <s v="CUST012"/>
    <s v="South"/>
    <x v="4"/>
    <n v="2"/>
    <n v="832"/>
    <x v="181"/>
  </r>
  <r>
    <s v="ORD01234"/>
    <d v="2024-06-26T00:00:00"/>
    <s v="CUST158"/>
    <s v="West"/>
    <x v="1"/>
    <n v="1"/>
    <n v="287"/>
    <x v="1031"/>
  </r>
  <r>
    <s v="ORD01235"/>
    <d v="2023-11-23T00:00:00"/>
    <s v="CUST071"/>
    <s v="South"/>
    <x v="3"/>
    <n v="2"/>
    <n v="1117"/>
    <x v="1032"/>
  </r>
  <r>
    <s v="ORD01236"/>
    <d v="2024-10-26T00:00:00"/>
    <s v="CUST072"/>
    <s v="East"/>
    <x v="4"/>
    <n v="5"/>
    <n v="295"/>
    <x v="1033"/>
  </r>
  <r>
    <s v="ORD01237"/>
    <d v="2024-02-29T00:00:00"/>
    <s v="CUST114"/>
    <s v="West"/>
    <x v="1"/>
    <n v="4"/>
    <n v="140"/>
    <x v="1034"/>
  </r>
  <r>
    <s v="ORD01238"/>
    <d v="2023-03-06T00:00:00"/>
    <s v="CUST040"/>
    <s v="West"/>
    <x v="1"/>
    <n v="5"/>
    <n v="932"/>
    <x v="1035"/>
  </r>
  <r>
    <s v="ORD01239"/>
    <d v="2024-08-13T00:00:00"/>
    <s v="CUST049"/>
    <s v="South"/>
    <x v="2"/>
    <n v="4"/>
    <n v="429"/>
    <x v="144"/>
  </r>
  <r>
    <s v="ORD01240"/>
    <d v="2024-03-03T00:00:00"/>
    <s v="CUST228"/>
    <s v="West"/>
    <x v="1"/>
    <n v="5"/>
    <n v="783"/>
    <x v="1036"/>
  </r>
  <r>
    <s v="ORD01241"/>
    <d v="2024-01-20T00:00:00"/>
    <s v="CUST058"/>
    <s v="West"/>
    <x v="4"/>
    <n v="4"/>
    <n v="645"/>
    <x v="851"/>
  </r>
  <r>
    <s v="ORD01242"/>
    <d v="2023-03-24T00:00:00"/>
    <s v="CUST240"/>
    <s v="West"/>
    <x v="4"/>
    <n v="5"/>
    <n v="1030"/>
    <x v="56"/>
  </r>
  <r>
    <s v="ORD01243"/>
    <d v="2023-07-20T00:00:00"/>
    <s v="CUST008"/>
    <s v="West"/>
    <x v="1"/>
    <n v="2"/>
    <n v="489"/>
    <x v="528"/>
  </r>
  <r>
    <s v="ORD01244"/>
    <d v="2023-01-17T00:00:00"/>
    <s v="CUST176"/>
    <s v="South"/>
    <x v="2"/>
    <n v="3"/>
    <n v="349"/>
    <x v="1037"/>
  </r>
  <r>
    <s v="ORD01245"/>
    <d v="2024-04-10T00:00:00"/>
    <s v="CUST177"/>
    <s v="West"/>
    <x v="1"/>
    <n v="2"/>
    <n v="360"/>
    <x v="153"/>
  </r>
  <r>
    <s v="ORD01246"/>
    <d v="2024-04-05T00:00:00"/>
    <s v="CUST201"/>
    <s v="West"/>
    <x v="2"/>
    <n v="1"/>
    <n v="959"/>
    <x v="1038"/>
  </r>
  <r>
    <s v="ORD01247"/>
    <d v="2024-06-29T00:00:00"/>
    <s v="CUST193"/>
    <s v="East"/>
    <x v="1"/>
    <n v="1"/>
    <n v="380"/>
    <x v="44"/>
  </r>
  <r>
    <s v="ORD01248"/>
    <d v="2023-04-04T00:00:00"/>
    <s v="CUST280"/>
    <s v="North"/>
    <x v="4"/>
    <n v="3"/>
    <n v="241"/>
    <x v="218"/>
  </r>
  <r>
    <s v="ORD01249"/>
    <d v="2024-01-18T00:00:00"/>
    <s v="CUST252"/>
    <s v="West"/>
    <x v="0"/>
    <n v="4"/>
    <n v="895"/>
    <x v="1039"/>
  </r>
  <r>
    <s v="ORD01250"/>
    <d v="2024-02-29T00:00:00"/>
    <s v="CUST045"/>
    <s v="North"/>
    <x v="3"/>
    <n v="5"/>
    <n v="372"/>
    <x v="656"/>
  </r>
  <r>
    <s v="ORD01251"/>
    <d v="2024-03-05T00:00:00"/>
    <s v="CUST240"/>
    <s v="North"/>
    <x v="4"/>
    <n v="5"/>
    <n v="542"/>
    <x v="81"/>
  </r>
  <r>
    <s v="ORD01252"/>
    <d v="2024-11-28T00:00:00"/>
    <s v="CUST172"/>
    <s v="North"/>
    <x v="4"/>
    <n v="2"/>
    <n v="1079"/>
    <x v="1040"/>
  </r>
  <r>
    <s v="ORD01253"/>
    <d v="2024-08-25T00:00:00"/>
    <s v="CUST284"/>
    <s v="East"/>
    <x v="0"/>
    <n v="1"/>
    <n v="348"/>
    <x v="1041"/>
  </r>
  <r>
    <s v="ORD01254"/>
    <d v="2024-07-01T00:00:00"/>
    <s v="CUST060"/>
    <s v="East"/>
    <x v="1"/>
    <n v="3"/>
    <n v="617"/>
    <x v="1042"/>
  </r>
  <r>
    <s v="ORD01255"/>
    <d v="2023-12-27T00:00:00"/>
    <s v="CUST075"/>
    <s v="West"/>
    <x v="3"/>
    <n v="2"/>
    <n v="726"/>
    <x v="865"/>
  </r>
  <r>
    <s v="ORD01256"/>
    <d v="2024-01-27T00:00:00"/>
    <s v="CUST048"/>
    <s v="North"/>
    <x v="1"/>
    <n v="5"/>
    <n v="717"/>
    <x v="1043"/>
  </r>
  <r>
    <s v="ORD01257"/>
    <d v="2023-04-23T00:00:00"/>
    <s v="CUST131"/>
    <s v="North"/>
    <x v="4"/>
    <n v="3"/>
    <n v="659"/>
    <x v="223"/>
  </r>
  <r>
    <s v="ORD01258"/>
    <d v="2024-01-21T00:00:00"/>
    <s v="CUST102"/>
    <s v="South"/>
    <x v="1"/>
    <n v="5"/>
    <n v="172"/>
    <x v="836"/>
  </r>
  <r>
    <s v="ORD01259"/>
    <d v="2024-05-07T00:00:00"/>
    <s v="CUST292"/>
    <s v="West"/>
    <x v="4"/>
    <n v="2"/>
    <n v="424"/>
    <x v="737"/>
  </r>
  <r>
    <s v="ORD01260"/>
    <d v="2023-01-11T00:00:00"/>
    <s v="CUST088"/>
    <s v="North"/>
    <x v="3"/>
    <n v="4"/>
    <n v="881"/>
    <x v="1044"/>
  </r>
  <r>
    <s v="ORD01261"/>
    <d v="2023-10-17T00:00:00"/>
    <s v="CUST290"/>
    <s v="South"/>
    <x v="1"/>
    <n v="2"/>
    <n v="964"/>
    <x v="1045"/>
  </r>
  <r>
    <s v="ORD01262"/>
    <d v="2024-01-24T00:00:00"/>
    <s v="CUST220"/>
    <s v="South"/>
    <x v="1"/>
    <n v="4"/>
    <n v="146"/>
    <x v="128"/>
  </r>
  <r>
    <s v="ORD01263"/>
    <d v="2023-12-09T00:00:00"/>
    <s v="CUST132"/>
    <s v="West"/>
    <x v="4"/>
    <n v="1"/>
    <n v="855"/>
    <x v="1046"/>
  </r>
  <r>
    <s v="ORD01264"/>
    <d v="2023-03-09T00:00:00"/>
    <s v="CUST001"/>
    <s v="South"/>
    <x v="2"/>
    <n v="4"/>
    <n v="816"/>
    <x v="402"/>
  </r>
  <r>
    <s v="ORD01265"/>
    <d v="2023-11-20T00:00:00"/>
    <s v="CUST246"/>
    <s v="North"/>
    <x v="2"/>
    <n v="1"/>
    <n v="154"/>
    <x v="898"/>
  </r>
  <r>
    <s v="ORD01266"/>
    <d v="2023-08-30T00:00:00"/>
    <s v="CUST245"/>
    <s v="North"/>
    <x v="4"/>
    <n v="4"/>
    <n v="248"/>
    <x v="845"/>
  </r>
  <r>
    <s v="ORD01267"/>
    <d v="2023-12-07T00:00:00"/>
    <s v="CUST194"/>
    <s v="South"/>
    <x v="3"/>
    <n v="3"/>
    <n v="750"/>
    <x v="992"/>
  </r>
  <r>
    <s v="ORD01268"/>
    <d v="2024-11-26T00:00:00"/>
    <s v="CUST267"/>
    <s v="North"/>
    <x v="2"/>
    <n v="3"/>
    <n v="856"/>
    <x v="4"/>
  </r>
  <r>
    <s v="ORD01269"/>
    <d v="2023-06-02T00:00:00"/>
    <s v="CUST039"/>
    <s v="West"/>
    <x v="2"/>
    <n v="5"/>
    <n v="404"/>
    <x v="155"/>
  </r>
  <r>
    <s v="ORD01270"/>
    <d v="2023-12-13T00:00:00"/>
    <s v="CUST078"/>
    <s v="West"/>
    <x v="2"/>
    <n v="3"/>
    <n v="329"/>
    <x v="1047"/>
  </r>
  <r>
    <s v="ORD01271"/>
    <d v="2024-05-06T00:00:00"/>
    <s v="CUST097"/>
    <s v="North"/>
    <x v="0"/>
    <n v="4"/>
    <n v="326"/>
    <x v="1048"/>
  </r>
  <r>
    <s v="ORD01272"/>
    <d v="2023-09-10T00:00:00"/>
    <s v="CUST017"/>
    <s v="North"/>
    <x v="3"/>
    <n v="1"/>
    <n v="837"/>
    <x v="952"/>
  </r>
  <r>
    <s v="ORD01273"/>
    <d v="2024-03-04T00:00:00"/>
    <s v="CUST027"/>
    <s v="West"/>
    <x v="1"/>
    <n v="5"/>
    <n v="591"/>
    <x v="1049"/>
  </r>
  <r>
    <s v="ORD01274"/>
    <d v="2024-10-30T00:00:00"/>
    <s v="CUST108"/>
    <s v="North"/>
    <x v="2"/>
    <n v="4"/>
    <n v="1172"/>
    <x v="1050"/>
  </r>
  <r>
    <s v="ORD01275"/>
    <d v="2023-05-18T00:00:00"/>
    <s v="CUST263"/>
    <s v="South"/>
    <x v="2"/>
    <n v="4"/>
    <n v="883"/>
    <x v="1051"/>
  </r>
  <r>
    <s v="ORD01276"/>
    <d v="2024-01-07T00:00:00"/>
    <s v="CUST051"/>
    <s v="South"/>
    <x v="4"/>
    <n v="3"/>
    <n v="780"/>
    <x v="1052"/>
  </r>
  <r>
    <s v="ORD01277"/>
    <d v="2023-12-21T00:00:00"/>
    <s v="CUST009"/>
    <s v="North"/>
    <x v="3"/>
    <n v="2"/>
    <n v="975"/>
    <x v="693"/>
  </r>
  <r>
    <s v="ORD01278"/>
    <d v="2023-07-18T00:00:00"/>
    <s v="CUST052"/>
    <s v="North"/>
    <x v="3"/>
    <n v="5"/>
    <n v="591"/>
    <x v="1049"/>
  </r>
  <r>
    <s v="ORD01279"/>
    <d v="2023-08-04T00:00:00"/>
    <s v="CUST035"/>
    <s v="East"/>
    <x v="1"/>
    <n v="2"/>
    <n v="363"/>
    <x v="618"/>
  </r>
  <r>
    <s v="ORD01280"/>
    <d v="2023-07-17T00:00:00"/>
    <s v="CUST056"/>
    <s v="West"/>
    <x v="1"/>
    <n v="5"/>
    <n v="983"/>
    <x v="1053"/>
  </r>
  <r>
    <s v="ORD01281"/>
    <d v="2024-10-17T00:00:00"/>
    <s v="CUST129"/>
    <s v="South"/>
    <x v="3"/>
    <n v="1"/>
    <n v="649"/>
    <x v="1054"/>
  </r>
  <r>
    <s v="ORD01282"/>
    <d v="2024-10-03T00:00:00"/>
    <s v="CUST046"/>
    <s v="West"/>
    <x v="3"/>
    <n v="1"/>
    <n v="743"/>
    <x v="876"/>
  </r>
  <r>
    <s v="ORD01283"/>
    <d v="2023-01-05T00:00:00"/>
    <s v="CUST185"/>
    <s v="West"/>
    <x v="3"/>
    <n v="2"/>
    <n v="1000"/>
    <x v="219"/>
  </r>
  <r>
    <s v="ORD01284"/>
    <d v="2023-07-14T00:00:00"/>
    <s v="CUST171"/>
    <s v="West"/>
    <x v="4"/>
    <n v="5"/>
    <n v="534"/>
    <x v="1055"/>
  </r>
  <r>
    <s v="ORD01285"/>
    <d v="2024-02-21T00:00:00"/>
    <s v="CUST013"/>
    <s v="West"/>
    <x v="0"/>
    <n v="1"/>
    <n v="908"/>
    <x v="488"/>
  </r>
  <r>
    <s v="ORD01286"/>
    <d v="2024-08-28T00:00:00"/>
    <s v="CUST008"/>
    <s v="East"/>
    <x v="2"/>
    <n v="3"/>
    <n v="528"/>
    <x v="646"/>
  </r>
  <r>
    <s v="ORD01287"/>
    <d v="2024-03-19T00:00:00"/>
    <s v="CUST016"/>
    <s v="East"/>
    <x v="1"/>
    <n v="5"/>
    <n v="1128"/>
    <x v="176"/>
  </r>
  <r>
    <s v="ORD01288"/>
    <d v="2024-03-12T00:00:00"/>
    <s v="CUST216"/>
    <s v="South"/>
    <x v="3"/>
    <n v="2"/>
    <n v="698"/>
    <x v="1056"/>
  </r>
  <r>
    <s v="ORD01289"/>
    <d v="2024-10-11T00:00:00"/>
    <s v="CUST089"/>
    <s v="South"/>
    <x v="2"/>
    <n v="2"/>
    <n v="1017"/>
    <x v="1057"/>
  </r>
  <r>
    <s v="ORD01290"/>
    <d v="2023-12-08T00:00:00"/>
    <s v="CUST119"/>
    <s v="North"/>
    <x v="4"/>
    <n v="3"/>
    <n v="1087"/>
    <x v="1058"/>
  </r>
  <r>
    <s v="ORD01291"/>
    <d v="2023-03-07T00:00:00"/>
    <s v="CUST271"/>
    <s v="West"/>
    <x v="1"/>
    <n v="3"/>
    <n v="408"/>
    <x v="146"/>
  </r>
  <r>
    <s v="ORD01292"/>
    <d v="2023-09-03T00:00:00"/>
    <s v="CUST049"/>
    <s v="North"/>
    <x v="3"/>
    <n v="3"/>
    <n v="366"/>
    <x v="1059"/>
  </r>
  <r>
    <s v="ORD01293"/>
    <d v="2024-03-02T00:00:00"/>
    <s v="CUST079"/>
    <s v="South"/>
    <x v="4"/>
    <n v="5"/>
    <n v="780"/>
    <x v="1060"/>
  </r>
  <r>
    <s v="ORD01294"/>
    <d v="2024-02-17T00:00:00"/>
    <s v="CUST016"/>
    <s v="North"/>
    <x v="2"/>
    <n v="4"/>
    <n v="189"/>
    <x v="394"/>
  </r>
  <r>
    <s v="ORD01295"/>
    <d v="2023-09-14T00:00:00"/>
    <s v="CUST076"/>
    <s v="West"/>
    <x v="1"/>
    <n v="3"/>
    <n v="343"/>
    <x v="1061"/>
  </r>
  <r>
    <s v="ORD01296"/>
    <d v="2024-08-30T00:00:00"/>
    <s v="CUST286"/>
    <s v="East"/>
    <x v="2"/>
    <n v="5"/>
    <n v="803"/>
    <x v="1062"/>
  </r>
  <r>
    <s v="ORD01297"/>
    <d v="2023-01-03T00:00:00"/>
    <s v="CUST053"/>
    <s v="North"/>
    <x v="4"/>
    <n v="1"/>
    <n v="505"/>
    <x v="434"/>
  </r>
  <r>
    <s v="ORD01298"/>
    <d v="2024-09-18T00:00:00"/>
    <s v="CUST221"/>
    <s v="West"/>
    <x v="2"/>
    <n v="2"/>
    <n v="397"/>
    <x v="183"/>
  </r>
  <r>
    <s v="ORD01299"/>
    <d v="2023-12-17T00:00:00"/>
    <s v="CUST272"/>
    <s v="East"/>
    <x v="0"/>
    <n v="3"/>
    <n v="830"/>
    <x v="1063"/>
  </r>
  <r>
    <s v="ORD01300"/>
    <d v="2023-11-24T00:00:00"/>
    <s v="CUST259"/>
    <s v="West"/>
    <x v="4"/>
    <n v="4"/>
    <n v="391"/>
    <x v="1064"/>
  </r>
  <r>
    <s v="ORD01301"/>
    <d v="2023-11-10T00:00:00"/>
    <s v="CUST155"/>
    <s v="South"/>
    <x v="4"/>
    <n v="3"/>
    <n v="798"/>
    <x v="692"/>
  </r>
  <r>
    <s v="ORD01302"/>
    <d v="2023-11-16T00:00:00"/>
    <s v="CUST067"/>
    <s v="West"/>
    <x v="3"/>
    <n v="1"/>
    <n v="623"/>
    <x v="1065"/>
  </r>
  <r>
    <s v="ORD01303"/>
    <d v="2023-06-20T00:00:00"/>
    <s v="CUST173"/>
    <s v="South"/>
    <x v="2"/>
    <n v="2"/>
    <n v="714"/>
    <x v="1066"/>
  </r>
  <r>
    <s v="ORD01304"/>
    <d v="2023-07-08T00:00:00"/>
    <s v="CUST040"/>
    <s v="West"/>
    <x v="3"/>
    <n v="4"/>
    <n v="1021"/>
    <x v="1067"/>
  </r>
  <r>
    <s v="ORD01305"/>
    <d v="2024-07-24T00:00:00"/>
    <s v="CUST121"/>
    <s v="West"/>
    <x v="1"/>
    <n v="3"/>
    <n v="521"/>
    <x v="1068"/>
  </r>
  <r>
    <s v="ORD01306"/>
    <d v="2023-11-30T00:00:00"/>
    <s v="CUST165"/>
    <s v="South"/>
    <x v="2"/>
    <n v="3"/>
    <n v="1033"/>
    <x v="1069"/>
  </r>
  <r>
    <s v="ORD01307"/>
    <d v="2024-09-05T00:00:00"/>
    <s v="CUST107"/>
    <s v="East"/>
    <x v="3"/>
    <n v="5"/>
    <n v="1152"/>
    <x v="1070"/>
  </r>
  <r>
    <s v="ORD01308"/>
    <d v="2023-11-02T00:00:00"/>
    <s v="CUST056"/>
    <s v="South"/>
    <x v="1"/>
    <n v="5"/>
    <n v="1189"/>
    <x v="1071"/>
  </r>
  <r>
    <s v="ORD01309"/>
    <d v="2024-11-14T00:00:00"/>
    <s v="CUST268"/>
    <s v="South"/>
    <x v="4"/>
    <n v="5"/>
    <n v="181"/>
    <x v="841"/>
  </r>
  <r>
    <s v="ORD01310"/>
    <d v="2023-06-06T00:00:00"/>
    <s v="CUST218"/>
    <s v="North"/>
    <x v="3"/>
    <n v="3"/>
    <n v="583"/>
    <x v="1072"/>
  </r>
  <r>
    <s v="ORD01311"/>
    <d v="2023-10-26T00:00:00"/>
    <s v="CUST139"/>
    <s v="South"/>
    <x v="2"/>
    <n v="5"/>
    <n v="1001"/>
    <x v="1073"/>
  </r>
  <r>
    <s v="ORD01312"/>
    <d v="2024-01-24T00:00:00"/>
    <s v="CUST080"/>
    <s v="West"/>
    <x v="2"/>
    <n v="5"/>
    <n v="116"/>
    <x v="126"/>
  </r>
  <r>
    <s v="ORD01313"/>
    <d v="2023-12-23T00:00:00"/>
    <s v="CUST175"/>
    <s v="North"/>
    <x v="0"/>
    <n v="1"/>
    <n v="963"/>
    <x v="631"/>
  </r>
  <r>
    <s v="ORD01314"/>
    <d v="2024-01-16T00:00:00"/>
    <s v="CUST196"/>
    <s v="East"/>
    <x v="1"/>
    <n v="3"/>
    <n v="1045"/>
    <x v="1074"/>
  </r>
  <r>
    <s v="ORD01315"/>
    <d v="2023-06-04T00:00:00"/>
    <s v="CUST087"/>
    <s v="South"/>
    <x v="0"/>
    <n v="1"/>
    <n v="338"/>
    <x v="1075"/>
  </r>
  <r>
    <s v="ORD01316"/>
    <d v="2024-06-30T00:00:00"/>
    <s v="CUST133"/>
    <s v="South"/>
    <x v="4"/>
    <n v="3"/>
    <n v="1116"/>
    <x v="34"/>
  </r>
  <r>
    <s v="ORD01317"/>
    <d v="2023-02-28T00:00:00"/>
    <s v="CUST073"/>
    <s v="East"/>
    <x v="2"/>
    <n v="2"/>
    <n v="691"/>
    <x v="1076"/>
  </r>
  <r>
    <s v="ORD01318"/>
    <d v="2023-10-28T00:00:00"/>
    <s v="CUST004"/>
    <s v="East"/>
    <x v="3"/>
    <n v="1"/>
    <n v="170"/>
    <x v="1077"/>
  </r>
  <r>
    <s v="ORD01319"/>
    <d v="2023-10-31T00:00:00"/>
    <s v="CUST274"/>
    <s v="South"/>
    <x v="2"/>
    <n v="3"/>
    <n v="220"/>
    <x v="297"/>
  </r>
  <r>
    <s v="ORD01320"/>
    <d v="2024-08-18T00:00:00"/>
    <s v="CUST220"/>
    <s v="South"/>
    <x v="1"/>
    <n v="1"/>
    <n v="857"/>
    <x v="1078"/>
  </r>
  <r>
    <s v="ORD01321"/>
    <d v="2024-05-06T00:00:00"/>
    <s v="CUST138"/>
    <s v="West"/>
    <x v="0"/>
    <n v="1"/>
    <n v="907"/>
    <x v="1079"/>
  </r>
  <r>
    <s v="ORD01322"/>
    <d v="2023-12-24T00:00:00"/>
    <s v="CUST225"/>
    <s v="North"/>
    <x v="0"/>
    <n v="5"/>
    <n v="116"/>
    <x v="126"/>
  </r>
  <r>
    <s v="ORD01323"/>
    <d v="2024-10-24T00:00:00"/>
    <s v="CUST204"/>
    <s v="North"/>
    <x v="4"/>
    <n v="3"/>
    <n v="107"/>
    <x v="1080"/>
  </r>
  <r>
    <s v="ORD01324"/>
    <d v="2023-11-20T00:00:00"/>
    <s v="CUST249"/>
    <s v="North"/>
    <x v="1"/>
    <n v="5"/>
    <n v="419"/>
    <x v="1081"/>
  </r>
  <r>
    <s v="ORD01325"/>
    <d v="2023-08-23T00:00:00"/>
    <s v="CUST181"/>
    <s v="South"/>
    <x v="2"/>
    <n v="2"/>
    <n v="522"/>
    <x v="714"/>
  </r>
  <r>
    <s v="ORD01326"/>
    <d v="2024-11-25T00:00:00"/>
    <s v="CUST169"/>
    <s v="East"/>
    <x v="4"/>
    <n v="2"/>
    <n v="1148"/>
    <x v="1082"/>
  </r>
  <r>
    <s v="ORD01327"/>
    <d v="2024-10-29T00:00:00"/>
    <s v="CUST044"/>
    <s v="West"/>
    <x v="4"/>
    <n v="5"/>
    <n v="905"/>
    <x v="1083"/>
  </r>
  <r>
    <s v="ORD01328"/>
    <d v="2024-10-08T00:00:00"/>
    <s v="CUST249"/>
    <s v="East"/>
    <x v="2"/>
    <n v="4"/>
    <n v="396"/>
    <x v="646"/>
  </r>
  <r>
    <s v="ORD01329"/>
    <d v="2024-07-18T00:00:00"/>
    <s v="CUST291"/>
    <s v="West"/>
    <x v="1"/>
    <n v="4"/>
    <n v="221"/>
    <x v="806"/>
  </r>
  <r>
    <s v="ORD01330"/>
    <d v="2024-03-24T00:00:00"/>
    <s v="CUST188"/>
    <s v="West"/>
    <x v="0"/>
    <n v="1"/>
    <n v="231"/>
    <x v="1084"/>
  </r>
  <r>
    <s v="ORD01331"/>
    <d v="2024-04-08T00:00:00"/>
    <s v="CUST068"/>
    <s v="South"/>
    <x v="0"/>
    <n v="4"/>
    <n v="969"/>
    <x v="1085"/>
  </r>
  <r>
    <s v="ORD01332"/>
    <d v="2023-12-28T00:00:00"/>
    <s v="CUST024"/>
    <s v="South"/>
    <x v="3"/>
    <n v="1"/>
    <n v="871"/>
    <x v="1086"/>
  </r>
  <r>
    <s v="ORD01333"/>
    <d v="2023-08-28T00:00:00"/>
    <s v="CUST193"/>
    <s v="East"/>
    <x v="3"/>
    <n v="2"/>
    <n v="460"/>
    <x v="1087"/>
  </r>
  <r>
    <s v="ORD01334"/>
    <d v="2023-10-14T00:00:00"/>
    <s v="CUST290"/>
    <s v="West"/>
    <x v="0"/>
    <n v="1"/>
    <n v="171"/>
    <x v="981"/>
  </r>
  <r>
    <s v="ORD01335"/>
    <d v="2024-01-03T00:00:00"/>
    <s v="CUST284"/>
    <s v="East"/>
    <x v="2"/>
    <n v="1"/>
    <n v="537"/>
    <x v="1088"/>
  </r>
  <r>
    <s v="ORD01336"/>
    <d v="2024-10-26T00:00:00"/>
    <s v="CUST104"/>
    <s v="East"/>
    <x v="1"/>
    <n v="5"/>
    <n v="1195"/>
    <x v="684"/>
  </r>
  <r>
    <s v="ORD01337"/>
    <d v="2024-05-17T00:00:00"/>
    <s v="CUST026"/>
    <s v="South"/>
    <x v="3"/>
    <n v="3"/>
    <n v="530"/>
    <x v="1089"/>
  </r>
  <r>
    <s v="ORD01338"/>
    <d v="2023-02-20T00:00:00"/>
    <s v="CUST174"/>
    <s v="East"/>
    <x v="4"/>
    <n v="1"/>
    <n v="1158"/>
    <x v="827"/>
  </r>
  <r>
    <s v="ORD01339"/>
    <d v="2023-02-23T00:00:00"/>
    <s v="CUST166"/>
    <s v="East"/>
    <x v="3"/>
    <n v="1"/>
    <n v="316"/>
    <x v="1090"/>
  </r>
  <r>
    <s v="ORD01340"/>
    <d v="2024-04-03T00:00:00"/>
    <s v="CUST031"/>
    <s v="West"/>
    <x v="0"/>
    <n v="4"/>
    <n v="889"/>
    <x v="770"/>
  </r>
  <r>
    <s v="ORD01341"/>
    <d v="2024-10-09T00:00:00"/>
    <s v="CUST183"/>
    <s v="South"/>
    <x v="2"/>
    <n v="1"/>
    <n v="201"/>
    <x v="1091"/>
  </r>
  <r>
    <s v="ORD01342"/>
    <d v="2024-08-22T00:00:00"/>
    <s v="CUST024"/>
    <s v="North"/>
    <x v="4"/>
    <n v="1"/>
    <n v="630"/>
    <x v="267"/>
  </r>
  <r>
    <s v="ORD01343"/>
    <d v="2023-10-17T00:00:00"/>
    <s v="CUST029"/>
    <s v="West"/>
    <x v="3"/>
    <n v="5"/>
    <n v="321"/>
    <x v="152"/>
  </r>
  <r>
    <s v="ORD01344"/>
    <d v="2024-05-24T00:00:00"/>
    <s v="CUST079"/>
    <s v="South"/>
    <x v="3"/>
    <n v="1"/>
    <n v="692"/>
    <x v="496"/>
  </r>
  <r>
    <s v="ORD01345"/>
    <d v="2023-10-12T00:00:00"/>
    <s v="CUST162"/>
    <s v="West"/>
    <x v="2"/>
    <n v="4"/>
    <n v="611"/>
    <x v="54"/>
  </r>
  <r>
    <s v="ORD01346"/>
    <d v="2023-11-16T00:00:00"/>
    <s v="CUST187"/>
    <s v="North"/>
    <x v="2"/>
    <n v="2"/>
    <n v="999"/>
    <x v="1092"/>
  </r>
  <r>
    <s v="ORD01347"/>
    <d v="2023-05-17T00:00:00"/>
    <s v="CUST118"/>
    <s v="West"/>
    <x v="3"/>
    <n v="5"/>
    <n v="370"/>
    <x v="1093"/>
  </r>
  <r>
    <s v="ORD01348"/>
    <d v="2024-09-10T00:00:00"/>
    <s v="CUST136"/>
    <s v="South"/>
    <x v="4"/>
    <n v="1"/>
    <n v="606"/>
    <x v="254"/>
  </r>
  <r>
    <s v="ORD01349"/>
    <d v="2024-06-15T00:00:00"/>
    <s v="CUST075"/>
    <s v="West"/>
    <x v="4"/>
    <n v="2"/>
    <n v="579"/>
    <x v="827"/>
  </r>
  <r>
    <s v="ORD01350"/>
    <d v="2024-02-15T00:00:00"/>
    <s v="CUST148"/>
    <s v="North"/>
    <x v="4"/>
    <n v="5"/>
    <n v="464"/>
    <x v="271"/>
  </r>
  <r>
    <s v="ORD01351"/>
    <d v="2024-09-06T00:00:00"/>
    <s v="CUST032"/>
    <s v="East"/>
    <x v="3"/>
    <n v="4"/>
    <n v="183"/>
    <x v="1094"/>
  </r>
  <r>
    <s v="ORD01352"/>
    <d v="2024-04-02T00:00:00"/>
    <s v="CUST108"/>
    <s v="East"/>
    <x v="4"/>
    <n v="3"/>
    <n v="729"/>
    <x v="234"/>
  </r>
  <r>
    <s v="ORD01353"/>
    <d v="2024-10-02T00:00:00"/>
    <s v="CUST202"/>
    <s v="East"/>
    <x v="0"/>
    <n v="4"/>
    <n v="309"/>
    <x v="66"/>
  </r>
  <r>
    <s v="ORD01354"/>
    <d v="2023-06-16T00:00:00"/>
    <s v="CUST154"/>
    <s v="South"/>
    <x v="4"/>
    <n v="4"/>
    <n v="831"/>
    <x v="910"/>
  </r>
  <r>
    <s v="ORD01355"/>
    <d v="2024-02-19T00:00:00"/>
    <s v="CUST007"/>
    <s v="North"/>
    <x v="2"/>
    <n v="4"/>
    <n v="393"/>
    <x v="1095"/>
  </r>
  <r>
    <s v="ORD01356"/>
    <d v="2023-02-02T00:00:00"/>
    <s v="CUST010"/>
    <s v="West"/>
    <x v="3"/>
    <n v="5"/>
    <n v="1128"/>
    <x v="176"/>
  </r>
  <r>
    <s v="ORD01357"/>
    <d v="2024-05-12T00:00:00"/>
    <s v="CUST264"/>
    <s v="North"/>
    <x v="4"/>
    <n v="5"/>
    <n v="173"/>
    <x v="1096"/>
  </r>
  <r>
    <s v="ORD01358"/>
    <d v="2023-06-06T00:00:00"/>
    <s v="CUST130"/>
    <s v="East"/>
    <x v="3"/>
    <n v="5"/>
    <n v="178"/>
    <x v="1097"/>
  </r>
  <r>
    <s v="ORD01359"/>
    <d v="2024-10-08T00:00:00"/>
    <s v="CUST072"/>
    <s v="North"/>
    <x v="2"/>
    <n v="1"/>
    <n v="537"/>
    <x v="1088"/>
  </r>
  <r>
    <s v="ORD01360"/>
    <d v="2023-10-01T00:00:00"/>
    <s v="CUST224"/>
    <s v="North"/>
    <x v="4"/>
    <n v="2"/>
    <n v="734"/>
    <x v="1098"/>
  </r>
  <r>
    <s v="ORD01361"/>
    <d v="2024-07-23T00:00:00"/>
    <s v="CUST141"/>
    <s v="South"/>
    <x v="2"/>
    <n v="2"/>
    <n v="1069"/>
    <x v="1099"/>
  </r>
  <r>
    <s v="ORD01362"/>
    <d v="2023-11-16T00:00:00"/>
    <s v="CUST165"/>
    <s v="South"/>
    <x v="2"/>
    <n v="1"/>
    <n v="283"/>
    <x v="1100"/>
  </r>
  <r>
    <s v="ORD01363"/>
    <d v="2023-03-02T00:00:00"/>
    <s v="CUST095"/>
    <s v="East"/>
    <x v="1"/>
    <n v="5"/>
    <n v="880"/>
    <x v="1101"/>
  </r>
  <r>
    <s v="ORD01364"/>
    <d v="2023-10-12T00:00:00"/>
    <s v="CUST061"/>
    <s v="South"/>
    <x v="4"/>
    <n v="5"/>
    <n v="183"/>
    <x v="993"/>
  </r>
  <r>
    <s v="ORD01365"/>
    <d v="2023-09-27T00:00:00"/>
    <s v="CUST035"/>
    <s v="North"/>
    <x v="1"/>
    <n v="5"/>
    <n v="1168"/>
    <x v="1102"/>
  </r>
  <r>
    <s v="ORD01366"/>
    <d v="2024-11-19T00:00:00"/>
    <s v="CUST200"/>
    <s v="North"/>
    <x v="4"/>
    <n v="1"/>
    <n v="1041"/>
    <x v="1103"/>
  </r>
  <r>
    <s v="ORD01367"/>
    <d v="2024-04-20T00:00:00"/>
    <s v="CUST133"/>
    <s v="South"/>
    <x v="1"/>
    <n v="3"/>
    <n v="1102"/>
    <x v="1104"/>
  </r>
  <r>
    <s v="ORD01368"/>
    <d v="2024-05-08T00:00:00"/>
    <s v="CUST233"/>
    <s v="North"/>
    <x v="1"/>
    <n v="4"/>
    <n v="120"/>
    <x v="96"/>
  </r>
  <r>
    <s v="ORD01369"/>
    <d v="2023-01-22T00:00:00"/>
    <s v="CUST218"/>
    <s v="North"/>
    <x v="1"/>
    <n v="3"/>
    <n v="1088"/>
    <x v="402"/>
  </r>
  <r>
    <s v="ORD01370"/>
    <d v="2024-10-09T00:00:00"/>
    <s v="CUST065"/>
    <s v="East"/>
    <x v="3"/>
    <n v="2"/>
    <n v="974"/>
    <x v="649"/>
  </r>
  <r>
    <s v="ORD01371"/>
    <d v="2023-12-20T00:00:00"/>
    <s v="CUST285"/>
    <s v="West"/>
    <x v="4"/>
    <n v="5"/>
    <n v="698"/>
    <x v="1105"/>
  </r>
  <r>
    <s v="ORD01372"/>
    <d v="2024-07-13T00:00:00"/>
    <s v="CUST175"/>
    <s v="North"/>
    <x v="2"/>
    <n v="4"/>
    <n v="377"/>
    <x v="1106"/>
  </r>
  <r>
    <s v="ORD01373"/>
    <d v="2024-02-01T00:00:00"/>
    <s v="CUST182"/>
    <s v="South"/>
    <x v="3"/>
    <n v="5"/>
    <n v="1012"/>
    <x v="1107"/>
  </r>
  <r>
    <s v="ORD01374"/>
    <d v="2024-04-15T00:00:00"/>
    <s v="CUST271"/>
    <s v="South"/>
    <x v="1"/>
    <n v="5"/>
    <n v="334"/>
    <x v="346"/>
  </r>
  <r>
    <s v="ORD01375"/>
    <d v="2023-07-15T00:00:00"/>
    <s v="CUST005"/>
    <s v="West"/>
    <x v="4"/>
    <n v="2"/>
    <n v="412"/>
    <x v="1108"/>
  </r>
  <r>
    <s v="ORD01376"/>
    <d v="2023-06-16T00:00:00"/>
    <s v="CUST094"/>
    <s v="East"/>
    <x v="1"/>
    <n v="4"/>
    <n v="1190"/>
    <x v="1109"/>
  </r>
  <r>
    <s v="ORD01377"/>
    <d v="2023-09-11T00:00:00"/>
    <s v="CUST121"/>
    <s v="West"/>
    <x v="3"/>
    <n v="3"/>
    <n v="555"/>
    <x v="1110"/>
  </r>
  <r>
    <s v="ORD01378"/>
    <d v="2023-12-24T00:00:00"/>
    <s v="CUST132"/>
    <s v="West"/>
    <x v="4"/>
    <n v="5"/>
    <n v="1114"/>
    <x v="1111"/>
  </r>
  <r>
    <s v="ORD01379"/>
    <d v="2024-01-07T00:00:00"/>
    <s v="CUST171"/>
    <s v="South"/>
    <x v="1"/>
    <n v="1"/>
    <n v="213"/>
    <x v="1112"/>
  </r>
  <r>
    <s v="ORD01380"/>
    <d v="2024-11-04T00:00:00"/>
    <s v="CUST120"/>
    <s v="North"/>
    <x v="4"/>
    <n v="3"/>
    <n v="1058"/>
    <x v="1113"/>
  </r>
  <r>
    <s v="ORD01381"/>
    <d v="2023-10-18T00:00:00"/>
    <s v="CUST263"/>
    <s v="West"/>
    <x v="2"/>
    <n v="5"/>
    <n v="286"/>
    <x v="1114"/>
  </r>
  <r>
    <s v="ORD01382"/>
    <d v="2023-09-09T00:00:00"/>
    <s v="CUST001"/>
    <s v="East"/>
    <x v="4"/>
    <n v="3"/>
    <n v="1038"/>
    <x v="262"/>
  </r>
  <r>
    <s v="ORD01383"/>
    <d v="2024-06-14T00:00:00"/>
    <s v="CUST125"/>
    <s v="East"/>
    <x v="0"/>
    <n v="4"/>
    <n v="1007"/>
    <x v="1115"/>
  </r>
  <r>
    <s v="ORD01384"/>
    <d v="2023-04-30T00:00:00"/>
    <s v="CUST229"/>
    <s v="North"/>
    <x v="0"/>
    <n v="5"/>
    <n v="782"/>
    <x v="1116"/>
  </r>
  <r>
    <s v="ORD01385"/>
    <d v="2024-11-27T00:00:00"/>
    <s v="CUST251"/>
    <s v="West"/>
    <x v="4"/>
    <n v="3"/>
    <n v="263"/>
    <x v="669"/>
  </r>
  <r>
    <s v="ORD01386"/>
    <d v="2023-02-16T00:00:00"/>
    <s v="CUST111"/>
    <s v="West"/>
    <x v="1"/>
    <n v="2"/>
    <n v="1114"/>
    <x v="433"/>
  </r>
  <r>
    <s v="ORD01387"/>
    <d v="2024-01-02T00:00:00"/>
    <s v="CUST130"/>
    <s v="East"/>
    <x v="0"/>
    <n v="2"/>
    <n v="473"/>
    <x v="1117"/>
  </r>
  <r>
    <s v="ORD01388"/>
    <d v="2023-12-04T00:00:00"/>
    <s v="CUST297"/>
    <s v="North"/>
    <x v="2"/>
    <n v="3"/>
    <n v="1015"/>
    <x v="258"/>
  </r>
  <r>
    <s v="ORD01389"/>
    <d v="2024-03-01T00:00:00"/>
    <s v="CUST052"/>
    <s v="South"/>
    <x v="1"/>
    <n v="3"/>
    <n v="867"/>
    <x v="1118"/>
  </r>
  <r>
    <s v="ORD01390"/>
    <d v="2024-04-06T00:00:00"/>
    <s v="CUST179"/>
    <s v="East"/>
    <x v="3"/>
    <n v="3"/>
    <n v="817"/>
    <x v="1119"/>
  </r>
  <r>
    <s v="ORD01391"/>
    <d v="2023-10-06T00:00:00"/>
    <s v="CUST154"/>
    <s v="South"/>
    <x v="3"/>
    <n v="4"/>
    <n v="676"/>
    <x v="1120"/>
  </r>
  <r>
    <s v="ORD01392"/>
    <d v="2023-10-07T00:00:00"/>
    <s v="CUST032"/>
    <s v="North"/>
    <x v="2"/>
    <n v="5"/>
    <n v="416"/>
    <x v="1121"/>
  </r>
  <r>
    <s v="ORD01393"/>
    <d v="2023-09-12T00:00:00"/>
    <s v="CUST221"/>
    <s v="East"/>
    <x v="2"/>
    <n v="3"/>
    <n v="234"/>
    <x v="564"/>
  </r>
  <r>
    <s v="ORD01394"/>
    <d v="2023-02-04T00:00:00"/>
    <s v="CUST296"/>
    <s v="North"/>
    <x v="4"/>
    <n v="2"/>
    <n v="1066"/>
    <x v="364"/>
  </r>
  <r>
    <s v="ORD01395"/>
    <d v="2024-01-22T00:00:00"/>
    <s v="CUST120"/>
    <s v="South"/>
    <x v="4"/>
    <n v="1"/>
    <n v="951"/>
    <x v="1122"/>
  </r>
  <r>
    <s v="ORD01396"/>
    <d v="2024-02-05T00:00:00"/>
    <s v="CUST274"/>
    <s v="West"/>
    <x v="4"/>
    <n v="4"/>
    <n v="699"/>
    <x v="731"/>
  </r>
  <r>
    <s v="ORD01397"/>
    <d v="2023-03-18T00:00:00"/>
    <s v="CUST061"/>
    <s v="North"/>
    <x v="1"/>
    <n v="4"/>
    <n v="774"/>
    <x v="523"/>
  </r>
  <r>
    <s v="ORD01398"/>
    <d v="2024-03-25T00:00:00"/>
    <s v="CUST220"/>
    <s v="West"/>
    <x v="2"/>
    <n v="1"/>
    <n v="319"/>
    <x v="1123"/>
  </r>
  <r>
    <s v="ORD01399"/>
    <d v="2024-04-28T00:00:00"/>
    <s v="CUST075"/>
    <s v="South"/>
    <x v="3"/>
    <n v="1"/>
    <n v="932"/>
    <x v="1124"/>
  </r>
  <r>
    <s v="ORD01400"/>
    <d v="2024-06-22T00:00:00"/>
    <s v="CUST086"/>
    <s v="East"/>
    <x v="0"/>
    <n v="1"/>
    <n v="197"/>
    <x v="1125"/>
  </r>
  <r>
    <s v="ORD01401"/>
    <d v="2024-10-25T00:00:00"/>
    <s v="CUST022"/>
    <s v="North"/>
    <x v="1"/>
    <n v="5"/>
    <n v="663"/>
    <x v="1126"/>
  </r>
  <r>
    <s v="ORD01402"/>
    <d v="2023-12-01T00:00:00"/>
    <s v="CUST061"/>
    <s v="East"/>
    <x v="2"/>
    <n v="2"/>
    <n v="448"/>
    <x v="1127"/>
  </r>
  <r>
    <s v="ORD01403"/>
    <d v="2023-02-15T00:00:00"/>
    <s v="CUST191"/>
    <s v="South"/>
    <x v="0"/>
    <n v="2"/>
    <n v="722"/>
    <x v="11"/>
  </r>
  <r>
    <s v="ORD01404"/>
    <d v="2023-05-29T00:00:00"/>
    <s v="CUST288"/>
    <s v="North"/>
    <x v="2"/>
    <n v="5"/>
    <n v="1145"/>
    <x v="1128"/>
  </r>
  <r>
    <s v="ORD01405"/>
    <d v="2024-04-17T00:00:00"/>
    <s v="CUST282"/>
    <s v="South"/>
    <x v="4"/>
    <n v="4"/>
    <n v="156"/>
    <x v="270"/>
  </r>
  <r>
    <s v="ORD01406"/>
    <d v="2023-10-09T00:00:00"/>
    <s v="CUST067"/>
    <s v="West"/>
    <x v="3"/>
    <n v="5"/>
    <n v="880"/>
    <x v="1101"/>
  </r>
  <r>
    <s v="ORD01407"/>
    <d v="2023-12-31T00:00:00"/>
    <s v="CUST161"/>
    <s v="North"/>
    <x v="3"/>
    <n v="2"/>
    <n v="979"/>
    <x v="1129"/>
  </r>
  <r>
    <s v="ORD01408"/>
    <d v="2024-11-24T00:00:00"/>
    <s v="CUST029"/>
    <s v="North"/>
    <x v="1"/>
    <n v="3"/>
    <n v="452"/>
    <x v="744"/>
  </r>
  <r>
    <s v="ORD01409"/>
    <d v="2023-09-05T00:00:00"/>
    <s v="CUST075"/>
    <s v="West"/>
    <x v="4"/>
    <n v="5"/>
    <n v="932"/>
    <x v="1035"/>
  </r>
  <r>
    <s v="ORD01410"/>
    <d v="2024-09-13T00:00:00"/>
    <s v="CUST100"/>
    <s v="West"/>
    <x v="1"/>
    <n v="5"/>
    <n v="1169"/>
    <x v="1130"/>
  </r>
  <r>
    <s v="ORD01411"/>
    <d v="2023-06-22T00:00:00"/>
    <s v="CUST288"/>
    <s v="South"/>
    <x v="2"/>
    <n v="2"/>
    <n v="547"/>
    <x v="330"/>
  </r>
  <r>
    <s v="ORD01412"/>
    <d v="2024-09-14T00:00:00"/>
    <s v="CUST011"/>
    <s v="West"/>
    <x v="2"/>
    <n v="2"/>
    <n v="365"/>
    <x v="754"/>
  </r>
  <r>
    <s v="ORD01413"/>
    <d v="2023-04-08T00:00:00"/>
    <s v="CUST276"/>
    <s v="South"/>
    <x v="0"/>
    <n v="4"/>
    <n v="364"/>
    <x v="657"/>
  </r>
  <r>
    <s v="ORD01414"/>
    <d v="2023-04-16T00:00:00"/>
    <s v="CUST221"/>
    <s v="West"/>
    <x v="0"/>
    <n v="1"/>
    <n v="785"/>
    <x v="1131"/>
  </r>
  <r>
    <s v="ORD01415"/>
    <d v="2023-04-07T00:00:00"/>
    <s v="CUST289"/>
    <s v="South"/>
    <x v="2"/>
    <n v="2"/>
    <n v="954"/>
    <x v="945"/>
  </r>
  <r>
    <s v="ORD01416"/>
    <d v="2024-10-15T00:00:00"/>
    <s v="CUST099"/>
    <s v="West"/>
    <x v="2"/>
    <n v="1"/>
    <n v="581"/>
    <x v="1132"/>
  </r>
  <r>
    <s v="ORD01417"/>
    <d v="2023-11-28T00:00:00"/>
    <s v="CUST149"/>
    <s v="South"/>
    <x v="3"/>
    <n v="4"/>
    <n v="892"/>
    <x v="1133"/>
  </r>
  <r>
    <s v="ORD01418"/>
    <d v="2023-08-27T00:00:00"/>
    <s v="CUST285"/>
    <s v="South"/>
    <x v="0"/>
    <n v="5"/>
    <n v="208"/>
    <x v="130"/>
  </r>
  <r>
    <s v="ORD01419"/>
    <d v="2023-10-19T00:00:00"/>
    <s v="CUST259"/>
    <s v="North"/>
    <x v="2"/>
    <n v="2"/>
    <n v="1092"/>
    <x v="1134"/>
  </r>
  <r>
    <s v="ORD01420"/>
    <d v="2024-07-08T00:00:00"/>
    <s v="CUST116"/>
    <s v="West"/>
    <x v="2"/>
    <n v="3"/>
    <n v="327"/>
    <x v="1135"/>
  </r>
  <r>
    <s v="ORD01421"/>
    <d v="2024-10-02T00:00:00"/>
    <s v="CUST097"/>
    <s v="West"/>
    <x v="2"/>
    <n v="3"/>
    <n v="103"/>
    <x v="395"/>
  </r>
  <r>
    <s v="ORD01422"/>
    <d v="2024-01-04T00:00:00"/>
    <s v="CUST019"/>
    <s v="South"/>
    <x v="1"/>
    <n v="4"/>
    <n v="145"/>
    <x v="126"/>
  </r>
  <r>
    <s v="ORD01423"/>
    <d v="2023-03-20T00:00:00"/>
    <s v="CUST283"/>
    <s v="North"/>
    <x v="0"/>
    <n v="3"/>
    <n v="432"/>
    <x v="295"/>
  </r>
  <r>
    <s v="ORD01424"/>
    <d v="2023-02-10T00:00:00"/>
    <s v="CUST131"/>
    <s v="North"/>
    <x v="2"/>
    <n v="5"/>
    <n v="1153"/>
    <x v="449"/>
  </r>
  <r>
    <s v="ORD01425"/>
    <d v="2023-07-14T00:00:00"/>
    <s v="CUST064"/>
    <s v="East"/>
    <x v="2"/>
    <n v="1"/>
    <n v="1171"/>
    <x v="1136"/>
  </r>
  <r>
    <s v="ORD01426"/>
    <d v="2023-05-22T00:00:00"/>
    <s v="CUST137"/>
    <s v="South"/>
    <x v="2"/>
    <n v="4"/>
    <n v="227"/>
    <x v="488"/>
  </r>
  <r>
    <s v="ORD01427"/>
    <d v="2023-03-20T00:00:00"/>
    <s v="CUST222"/>
    <s v="East"/>
    <x v="1"/>
    <n v="3"/>
    <n v="283"/>
    <x v="1137"/>
  </r>
  <r>
    <s v="ORD01428"/>
    <d v="2024-01-17T00:00:00"/>
    <s v="CUST012"/>
    <s v="North"/>
    <x v="4"/>
    <n v="3"/>
    <n v="403"/>
    <x v="1138"/>
  </r>
  <r>
    <s v="ORD01429"/>
    <d v="2023-08-21T00:00:00"/>
    <s v="CUST280"/>
    <s v="West"/>
    <x v="0"/>
    <n v="2"/>
    <n v="115"/>
    <x v="1139"/>
  </r>
  <r>
    <s v="ORD01430"/>
    <d v="2024-08-05T00:00:00"/>
    <s v="CUST141"/>
    <s v="North"/>
    <x v="2"/>
    <n v="1"/>
    <n v="709"/>
    <x v="1140"/>
  </r>
  <r>
    <s v="ORD01431"/>
    <d v="2023-05-14T00:00:00"/>
    <s v="CUST034"/>
    <s v="South"/>
    <x v="0"/>
    <n v="2"/>
    <n v="477"/>
    <x v="591"/>
  </r>
  <r>
    <s v="ORD01432"/>
    <d v="2024-10-22T00:00:00"/>
    <s v="CUST249"/>
    <s v="West"/>
    <x v="0"/>
    <n v="2"/>
    <n v="517"/>
    <x v="1141"/>
  </r>
  <r>
    <s v="ORD01433"/>
    <d v="2023-02-03T00:00:00"/>
    <s v="CUST272"/>
    <s v="West"/>
    <x v="0"/>
    <n v="4"/>
    <n v="485"/>
    <x v="347"/>
  </r>
  <r>
    <s v="ORD01434"/>
    <d v="2023-05-27T00:00:00"/>
    <s v="CUST018"/>
    <s v="East"/>
    <x v="1"/>
    <n v="2"/>
    <n v="983"/>
    <x v="1142"/>
  </r>
  <r>
    <s v="ORD01435"/>
    <d v="2023-08-29T00:00:00"/>
    <s v="CUST212"/>
    <s v="North"/>
    <x v="4"/>
    <n v="1"/>
    <n v="664"/>
    <x v="349"/>
  </r>
  <r>
    <s v="ORD01436"/>
    <d v="2024-03-22T00:00:00"/>
    <s v="CUST222"/>
    <s v="East"/>
    <x v="4"/>
    <n v="5"/>
    <n v="683"/>
    <x v="1143"/>
  </r>
  <r>
    <s v="ORD01437"/>
    <d v="2023-09-08T00:00:00"/>
    <s v="CUST185"/>
    <s v="South"/>
    <x v="2"/>
    <n v="2"/>
    <n v="1162"/>
    <x v="1144"/>
  </r>
  <r>
    <s v="ORD01438"/>
    <d v="2024-01-06T00:00:00"/>
    <s v="CUST005"/>
    <s v="South"/>
    <x v="1"/>
    <n v="1"/>
    <n v="908"/>
    <x v="488"/>
  </r>
  <r>
    <s v="ORD01439"/>
    <d v="2023-11-28T00:00:00"/>
    <s v="CUST287"/>
    <s v="South"/>
    <x v="4"/>
    <n v="5"/>
    <n v="718"/>
    <x v="1145"/>
  </r>
  <r>
    <s v="ORD01440"/>
    <d v="2023-10-23T00:00:00"/>
    <s v="CUST293"/>
    <s v="South"/>
    <x v="3"/>
    <n v="4"/>
    <n v="1096"/>
    <x v="1146"/>
  </r>
  <r>
    <s v="ORD01441"/>
    <d v="2023-04-15T00:00:00"/>
    <s v="CUST202"/>
    <s v="South"/>
    <x v="4"/>
    <n v="5"/>
    <n v="619"/>
    <x v="1147"/>
  </r>
  <r>
    <s v="ORD01442"/>
    <d v="2024-06-20T00:00:00"/>
    <s v="CUST198"/>
    <s v="North"/>
    <x v="1"/>
    <n v="2"/>
    <n v="702"/>
    <x v="782"/>
  </r>
  <r>
    <s v="ORD01443"/>
    <d v="2024-02-18T00:00:00"/>
    <s v="CUST127"/>
    <s v="West"/>
    <x v="3"/>
    <n v="4"/>
    <n v="1134"/>
    <x v="658"/>
  </r>
  <r>
    <s v="ORD01444"/>
    <d v="2023-02-22T00:00:00"/>
    <s v="CUST117"/>
    <s v="South"/>
    <x v="4"/>
    <n v="1"/>
    <n v="537"/>
    <x v="1088"/>
  </r>
  <r>
    <s v="ORD01445"/>
    <d v="2023-11-14T00:00:00"/>
    <s v="CUST236"/>
    <s v="North"/>
    <x v="3"/>
    <n v="3"/>
    <n v="645"/>
    <x v="93"/>
  </r>
  <r>
    <s v="ORD01446"/>
    <d v="2024-09-29T00:00:00"/>
    <s v="CUST280"/>
    <s v="South"/>
    <x v="4"/>
    <n v="3"/>
    <n v="162"/>
    <x v="473"/>
  </r>
  <r>
    <s v="ORD01447"/>
    <d v="2024-09-19T00:00:00"/>
    <s v="CUST186"/>
    <s v="South"/>
    <x v="0"/>
    <n v="2"/>
    <n v="1142"/>
    <x v="378"/>
  </r>
  <r>
    <s v="ORD01448"/>
    <d v="2023-01-03T00:00:00"/>
    <s v="CUST261"/>
    <s v="East"/>
    <x v="4"/>
    <n v="4"/>
    <n v="708"/>
    <x v="1148"/>
  </r>
  <r>
    <s v="ORD01449"/>
    <d v="2024-12-01T00:00:00"/>
    <s v="CUST187"/>
    <s v="South"/>
    <x v="4"/>
    <n v="5"/>
    <n v="1079"/>
    <x v="1149"/>
  </r>
  <r>
    <s v="ORD01450"/>
    <d v="2023-03-26T00:00:00"/>
    <s v="CUST126"/>
    <s v="South"/>
    <x v="2"/>
    <n v="1"/>
    <n v="370"/>
    <x v="778"/>
  </r>
  <r>
    <s v="ORD01451"/>
    <d v="2024-07-29T00:00:00"/>
    <s v="CUST243"/>
    <s v="South"/>
    <x v="1"/>
    <n v="2"/>
    <n v="195"/>
    <x v="359"/>
  </r>
  <r>
    <s v="ORD01452"/>
    <d v="2023-02-13T00:00:00"/>
    <s v="CUST045"/>
    <s v="North"/>
    <x v="3"/>
    <n v="5"/>
    <n v="273"/>
    <x v="1150"/>
  </r>
  <r>
    <s v="ORD01453"/>
    <d v="2023-02-26T00:00:00"/>
    <s v="CUST019"/>
    <s v="East"/>
    <x v="1"/>
    <n v="2"/>
    <n v="131"/>
    <x v="791"/>
  </r>
  <r>
    <s v="ORD01454"/>
    <d v="2023-02-10T00:00:00"/>
    <s v="CUST157"/>
    <s v="East"/>
    <x v="1"/>
    <n v="4"/>
    <n v="324"/>
    <x v="295"/>
  </r>
  <r>
    <s v="ORD01455"/>
    <d v="2023-10-05T00:00:00"/>
    <s v="CUST065"/>
    <s v="West"/>
    <x v="2"/>
    <n v="3"/>
    <n v="705"/>
    <x v="1151"/>
  </r>
  <r>
    <s v="ORD01456"/>
    <d v="2023-02-01T00:00:00"/>
    <s v="CUST108"/>
    <s v="North"/>
    <x v="3"/>
    <n v="2"/>
    <n v="576"/>
    <x v="1152"/>
  </r>
  <r>
    <s v="ORD01457"/>
    <d v="2024-05-10T00:00:00"/>
    <s v="CUST119"/>
    <s v="East"/>
    <x v="4"/>
    <n v="5"/>
    <n v="749"/>
    <x v="1153"/>
  </r>
  <r>
    <s v="ORD01458"/>
    <d v="2024-06-18T00:00:00"/>
    <s v="CUST203"/>
    <s v="North"/>
    <x v="4"/>
    <n v="5"/>
    <n v="895"/>
    <x v="1154"/>
  </r>
  <r>
    <s v="ORD01459"/>
    <d v="2023-07-17T00:00:00"/>
    <s v="CUST224"/>
    <s v="North"/>
    <x v="1"/>
    <n v="4"/>
    <n v="614"/>
    <x v="1155"/>
  </r>
  <r>
    <s v="ORD01460"/>
    <d v="2024-11-26T00:00:00"/>
    <s v="CUST051"/>
    <s v="East"/>
    <x v="4"/>
    <n v="2"/>
    <n v="572"/>
    <x v="210"/>
  </r>
  <r>
    <s v="ORD01461"/>
    <d v="2024-04-12T00:00:00"/>
    <s v="CUST271"/>
    <s v="South"/>
    <x v="4"/>
    <n v="3"/>
    <n v="760"/>
    <x v="784"/>
  </r>
  <r>
    <s v="ORD01462"/>
    <d v="2023-06-15T00:00:00"/>
    <s v="CUST290"/>
    <s v="West"/>
    <x v="4"/>
    <n v="4"/>
    <n v="734"/>
    <x v="1156"/>
  </r>
  <r>
    <s v="ORD01463"/>
    <d v="2023-04-29T00:00:00"/>
    <s v="CUST293"/>
    <s v="South"/>
    <x v="2"/>
    <n v="4"/>
    <n v="881"/>
    <x v="1044"/>
  </r>
  <r>
    <s v="ORD01464"/>
    <d v="2024-07-17T00:00:00"/>
    <s v="CUST156"/>
    <s v="North"/>
    <x v="1"/>
    <n v="4"/>
    <n v="1031"/>
    <x v="492"/>
  </r>
  <r>
    <s v="ORD01465"/>
    <d v="2024-01-10T00:00:00"/>
    <s v="CUST205"/>
    <s v="North"/>
    <x v="3"/>
    <n v="3"/>
    <n v="1100"/>
    <x v="928"/>
  </r>
  <r>
    <s v="ORD01466"/>
    <d v="2024-04-12T00:00:00"/>
    <s v="CUST130"/>
    <s v="East"/>
    <x v="3"/>
    <n v="2"/>
    <n v="324"/>
    <x v="735"/>
  </r>
  <r>
    <s v="ORD01467"/>
    <d v="2023-12-19T00:00:00"/>
    <s v="CUST142"/>
    <s v="East"/>
    <x v="3"/>
    <n v="1"/>
    <n v="214"/>
    <x v="1157"/>
  </r>
  <r>
    <s v="ORD01468"/>
    <d v="2024-06-02T00:00:00"/>
    <s v="CUST273"/>
    <s v="North"/>
    <x v="0"/>
    <n v="1"/>
    <n v="351"/>
    <x v="1158"/>
  </r>
  <r>
    <s v="ORD01469"/>
    <d v="2023-08-12T00:00:00"/>
    <s v="CUST146"/>
    <s v="East"/>
    <x v="3"/>
    <n v="4"/>
    <n v="609"/>
    <x v="545"/>
  </r>
  <r>
    <s v="ORD01470"/>
    <d v="2024-06-06T00:00:00"/>
    <s v="CUST089"/>
    <s v="West"/>
    <x v="4"/>
    <n v="2"/>
    <n v="1025"/>
    <x v="1159"/>
  </r>
  <r>
    <s v="ORD01471"/>
    <d v="2023-06-26T00:00:00"/>
    <s v="CUST246"/>
    <s v="East"/>
    <x v="4"/>
    <n v="3"/>
    <n v="1024"/>
    <x v="314"/>
  </r>
  <r>
    <s v="ORD01472"/>
    <d v="2023-02-08T00:00:00"/>
    <s v="CUST019"/>
    <s v="South"/>
    <x v="4"/>
    <n v="3"/>
    <n v="228"/>
    <x v="1160"/>
  </r>
  <r>
    <s v="ORD01473"/>
    <d v="2024-10-10T00:00:00"/>
    <s v="CUST071"/>
    <s v="South"/>
    <x v="4"/>
    <n v="4"/>
    <n v="196"/>
    <x v="1161"/>
  </r>
  <r>
    <s v="ORD01474"/>
    <d v="2024-08-03T00:00:00"/>
    <s v="CUST150"/>
    <s v="East"/>
    <x v="4"/>
    <n v="2"/>
    <n v="301"/>
    <x v="1162"/>
  </r>
  <r>
    <s v="ORD01475"/>
    <d v="2023-06-17T00:00:00"/>
    <s v="CUST264"/>
    <s v="South"/>
    <x v="2"/>
    <n v="1"/>
    <n v="211"/>
    <x v="1163"/>
  </r>
  <r>
    <s v="ORD01476"/>
    <d v="2024-11-13T00:00:00"/>
    <s v="CUST071"/>
    <s v="West"/>
    <x v="1"/>
    <n v="1"/>
    <n v="497"/>
    <x v="848"/>
  </r>
  <r>
    <s v="ORD01477"/>
    <d v="2023-08-19T00:00:00"/>
    <s v="CUST088"/>
    <s v="East"/>
    <x v="2"/>
    <n v="3"/>
    <n v="344"/>
    <x v="484"/>
  </r>
  <r>
    <s v="ORD01478"/>
    <d v="2023-04-26T00:00:00"/>
    <s v="CUST191"/>
    <s v="North"/>
    <x v="0"/>
    <n v="4"/>
    <n v="942"/>
    <x v="1164"/>
  </r>
  <r>
    <s v="ORD01479"/>
    <d v="2024-04-04T00:00:00"/>
    <s v="CUST240"/>
    <s v="East"/>
    <x v="0"/>
    <n v="2"/>
    <n v="249"/>
    <x v="524"/>
  </r>
  <r>
    <s v="ORD01480"/>
    <d v="2024-04-26T00:00:00"/>
    <s v="CUST273"/>
    <s v="East"/>
    <x v="1"/>
    <n v="2"/>
    <n v="108"/>
    <x v="1165"/>
  </r>
  <r>
    <s v="ORD01481"/>
    <d v="2024-02-07T00:00:00"/>
    <s v="CUST120"/>
    <s v="North"/>
    <x v="3"/>
    <n v="2"/>
    <n v="717"/>
    <x v="85"/>
  </r>
  <r>
    <s v="ORD01482"/>
    <d v="2024-05-19T00:00:00"/>
    <s v="CUST166"/>
    <s v="East"/>
    <x v="3"/>
    <n v="4"/>
    <n v="892"/>
    <x v="1133"/>
  </r>
  <r>
    <s v="ORD01483"/>
    <d v="2023-03-16T00:00:00"/>
    <s v="CUST160"/>
    <s v="North"/>
    <x v="4"/>
    <n v="5"/>
    <n v="537"/>
    <x v="592"/>
  </r>
  <r>
    <s v="ORD01484"/>
    <d v="2023-10-18T00:00:00"/>
    <s v="CUST062"/>
    <s v="East"/>
    <x v="3"/>
    <n v="2"/>
    <n v="528"/>
    <x v="1166"/>
  </r>
  <r>
    <s v="ORD01485"/>
    <d v="2024-01-23T00:00:00"/>
    <s v="CUST009"/>
    <s v="West"/>
    <x v="2"/>
    <n v="1"/>
    <n v="646"/>
    <x v="1167"/>
  </r>
  <r>
    <s v="ORD01486"/>
    <d v="2023-06-21T00:00:00"/>
    <s v="CUST193"/>
    <s v="East"/>
    <x v="4"/>
    <n v="1"/>
    <n v="1081"/>
    <x v="1168"/>
  </r>
  <r>
    <s v="ORD01487"/>
    <d v="2024-08-15T00:00:00"/>
    <s v="CUST093"/>
    <s v="North"/>
    <x v="3"/>
    <n v="1"/>
    <n v="210"/>
    <x v="880"/>
  </r>
  <r>
    <s v="ORD01488"/>
    <d v="2024-07-18T00:00:00"/>
    <s v="CUST062"/>
    <s v="East"/>
    <x v="3"/>
    <n v="2"/>
    <n v="721"/>
    <x v="1169"/>
  </r>
  <r>
    <s v="ORD01489"/>
    <d v="2024-10-08T00:00:00"/>
    <s v="CUST238"/>
    <s v="North"/>
    <x v="1"/>
    <n v="4"/>
    <n v="734"/>
    <x v="1156"/>
  </r>
  <r>
    <s v="ORD01490"/>
    <d v="2023-01-23T00:00:00"/>
    <s v="CUST090"/>
    <s v="North"/>
    <x v="4"/>
    <n v="1"/>
    <n v="1070"/>
    <x v="645"/>
  </r>
  <r>
    <s v="ORD01491"/>
    <d v="2023-07-01T00:00:00"/>
    <s v="CUST111"/>
    <s v="West"/>
    <x v="1"/>
    <n v="3"/>
    <n v="673"/>
    <x v="1170"/>
  </r>
  <r>
    <s v="ORD01492"/>
    <d v="2023-02-18T00:00:00"/>
    <s v="CUST196"/>
    <s v="West"/>
    <x v="3"/>
    <n v="2"/>
    <n v="652"/>
    <x v="1048"/>
  </r>
  <r>
    <s v="ORD01493"/>
    <d v="2023-03-22T00:00:00"/>
    <s v="CUST100"/>
    <s v="West"/>
    <x v="1"/>
    <n v="4"/>
    <n v="209"/>
    <x v="1171"/>
  </r>
  <r>
    <s v="ORD01494"/>
    <d v="2024-09-03T00:00:00"/>
    <s v="CUST033"/>
    <s v="North"/>
    <x v="2"/>
    <n v="4"/>
    <n v="302"/>
    <x v="292"/>
  </r>
  <r>
    <s v="ORD01495"/>
    <d v="2024-05-22T00:00:00"/>
    <s v="CUST030"/>
    <s v="East"/>
    <x v="0"/>
    <n v="3"/>
    <n v="641"/>
    <x v="1172"/>
  </r>
  <r>
    <s v="ORD01496"/>
    <d v="2023-03-03T00:00:00"/>
    <s v="CUST007"/>
    <s v="East"/>
    <x v="4"/>
    <n v="1"/>
    <n v="1067"/>
    <x v="602"/>
  </r>
  <r>
    <s v="ORD01497"/>
    <d v="2024-08-18T00:00:00"/>
    <s v="CUST086"/>
    <s v="South"/>
    <x v="0"/>
    <n v="1"/>
    <n v="649"/>
    <x v="1054"/>
  </r>
  <r>
    <s v="ORD01498"/>
    <d v="2024-09-14T00:00:00"/>
    <s v="CUST250"/>
    <s v="North"/>
    <x v="0"/>
    <n v="5"/>
    <n v="1108"/>
    <x v="70"/>
  </r>
  <r>
    <s v="ORD01499"/>
    <d v="2023-07-23T00:00:00"/>
    <s v="CUST198"/>
    <s v="North"/>
    <x v="4"/>
    <n v="4"/>
    <n v="989"/>
    <x v="393"/>
  </r>
  <r>
    <s v="ORD01500"/>
    <d v="2023-09-14T00:00:00"/>
    <s v="CUST129"/>
    <s v="West"/>
    <x v="1"/>
    <n v="3"/>
    <n v="168"/>
    <x v="117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s v="ORD00001"/>
    <d v="2023-04-25T00:00:00"/>
    <x v="0"/>
    <x v="0"/>
    <x v="0"/>
    <n v="2"/>
    <n v="886"/>
    <n v="1772"/>
  </r>
  <r>
    <s v="ORD00002"/>
    <d v="2023-09-18T00:00:00"/>
    <x v="1"/>
    <x v="0"/>
    <x v="1"/>
    <n v="2"/>
    <n v="1052"/>
    <n v="2104"/>
  </r>
  <r>
    <s v="ORD00003"/>
    <d v="2024-09-18T00:00:00"/>
    <x v="2"/>
    <x v="1"/>
    <x v="0"/>
    <n v="1"/>
    <n v="441"/>
    <n v="441"/>
  </r>
  <r>
    <s v="ORD00004"/>
    <d v="2023-06-01T00:00:00"/>
    <x v="3"/>
    <x v="2"/>
    <x v="0"/>
    <n v="3"/>
    <n v="1115"/>
    <n v="3345"/>
  </r>
  <r>
    <s v="ORD00005"/>
    <d v="2023-07-01T00:00:00"/>
    <x v="4"/>
    <x v="1"/>
    <x v="1"/>
    <n v="3"/>
    <n v="856"/>
    <n v="2568"/>
  </r>
  <r>
    <s v="ORD00006"/>
    <d v="2024-09-08T00:00:00"/>
    <x v="5"/>
    <x v="2"/>
    <x v="2"/>
    <n v="5"/>
    <n v="788"/>
    <n v="3940"/>
  </r>
  <r>
    <s v="ORD00007"/>
    <d v="2023-07-02T00:00:00"/>
    <x v="3"/>
    <x v="3"/>
    <x v="0"/>
    <n v="1"/>
    <n v="654"/>
    <n v="654"/>
  </r>
  <r>
    <s v="ORD00008"/>
    <d v="2024-10-19T00:00:00"/>
    <x v="6"/>
    <x v="3"/>
    <x v="1"/>
    <n v="3"/>
    <n v="512"/>
    <n v="1536"/>
  </r>
  <r>
    <s v="ORD00009"/>
    <d v="2023-08-27T00:00:00"/>
    <x v="7"/>
    <x v="2"/>
    <x v="3"/>
    <n v="5"/>
    <n v="531"/>
    <n v="2655"/>
  </r>
  <r>
    <s v="ORD00010"/>
    <d v="2024-01-20T00:00:00"/>
    <x v="8"/>
    <x v="2"/>
    <x v="4"/>
    <n v="5"/>
    <n v="448"/>
    <n v="2240"/>
  </r>
  <r>
    <s v="ORD00011"/>
    <d v="2023-01-07T00:00:00"/>
    <x v="9"/>
    <x v="2"/>
    <x v="3"/>
    <n v="1"/>
    <n v="831"/>
    <n v="831"/>
  </r>
  <r>
    <s v="ORD00012"/>
    <d v="2023-05-22T00:00:00"/>
    <x v="10"/>
    <x v="0"/>
    <x v="4"/>
    <n v="4"/>
    <n v="361"/>
    <n v="1444"/>
  </r>
  <r>
    <s v="ORD00013"/>
    <d v="2023-10-24T00:00:00"/>
    <x v="11"/>
    <x v="1"/>
    <x v="3"/>
    <n v="5"/>
    <n v="1072"/>
    <n v="5360"/>
  </r>
  <r>
    <s v="ORD00014"/>
    <d v="2024-09-03T00:00:00"/>
    <x v="12"/>
    <x v="2"/>
    <x v="4"/>
    <n v="1"/>
    <n v="114"/>
    <n v="114"/>
  </r>
  <r>
    <s v="ORD00015"/>
    <d v="2023-09-08T00:00:00"/>
    <x v="13"/>
    <x v="1"/>
    <x v="4"/>
    <n v="3"/>
    <n v="918"/>
    <n v="2754"/>
  </r>
  <r>
    <s v="ORD00016"/>
    <d v="2023-09-08T00:00:00"/>
    <x v="14"/>
    <x v="3"/>
    <x v="1"/>
    <n v="4"/>
    <n v="793"/>
    <n v="3172"/>
  </r>
  <r>
    <s v="ORD00017"/>
    <d v="2024-07-05T00:00:00"/>
    <x v="15"/>
    <x v="0"/>
    <x v="2"/>
    <n v="5"/>
    <n v="974"/>
    <n v="4870"/>
  </r>
  <r>
    <s v="ORD00018"/>
    <d v="2023-12-28T00:00:00"/>
    <x v="16"/>
    <x v="0"/>
    <x v="1"/>
    <n v="4"/>
    <n v="158"/>
    <n v="632"/>
  </r>
  <r>
    <s v="ORD00019"/>
    <d v="2023-11-29T00:00:00"/>
    <x v="17"/>
    <x v="2"/>
    <x v="0"/>
    <n v="4"/>
    <n v="431"/>
    <n v="1724"/>
  </r>
  <r>
    <s v="ORD00020"/>
    <d v="2023-04-29T00:00:00"/>
    <x v="18"/>
    <x v="2"/>
    <x v="3"/>
    <n v="2"/>
    <n v="1151"/>
    <n v="2302"/>
  </r>
  <r>
    <s v="ORD00021"/>
    <d v="2024-08-22T00:00:00"/>
    <x v="19"/>
    <x v="0"/>
    <x v="1"/>
    <n v="4"/>
    <n v="890"/>
    <n v="3560"/>
  </r>
  <r>
    <s v="ORD00022"/>
    <d v="2024-02-19T00:00:00"/>
    <x v="20"/>
    <x v="1"/>
    <x v="0"/>
    <n v="5"/>
    <n v="460"/>
    <n v="2300"/>
  </r>
  <r>
    <s v="ORD00023"/>
    <d v="2024-06-07T00:00:00"/>
    <x v="21"/>
    <x v="2"/>
    <x v="1"/>
    <n v="5"/>
    <n v="315"/>
    <n v="1575"/>
  </r>
  <r>
    <s v="ORD00024"/>
    <d v="2024-05-23T00:00:00"/>
    <x v="22"/>
    <x v="1"/>
    <x v="0"/>
    <n v="2"/>
    <n v="915"/>
    <n v="1830"/>
  </r>
  <r>
    <s v="ORD00025"/>
    <d v="2024-07-29T00:00:00"/>
    <x v="23"/>
    <x v="0"/>
    <x v="4"/>
    <n v="2"/>
    <n v="486"/>
    <n v="972"/>
  </r>
  <r>
    <s v="ORD00026"/>
    <d v="2023-01-25T00:00:00"/>
    <x v="24"/>
    <x v="0"/>
    <x v="4"/>
    <n v="5"/>
    <n v="539"/>
    <n v="2695"/>
  </r>
  <r>
    <s v="ORD00027"/>
    <d v="2024-01-24T00:00:00"/>
    <x v="25"/>
    <x v="0"/>
    <x v="4"/>
    <n v="1"/>
    <n v="148"/>
    <n v="148"/>
  </r>
  <r>
    <s v="ORD00028"/>
    <d v="2024-05-17T00:00:00"/>
    <x v="26"/>
    <x v="1"/>
    <x v="2"/>
    <n v="4"/>
    <n v="791"/>
    <n v="3164"/>
  </r>
  <r>
    <s v="ORD00029"/>
    <d v="2024-11-15T00:00:00"/>
    <x v="27"/>
    <x v="3"/>
    <x v="3"/>
    <n v="2"/>
    <n v="457"/>
    <n v="914"/>
  </r>
  <r>
    <s v="ORD00030"/>
    <d v="2024-04-22T00:00:00"/>
    <x v="27"/>
    <x v="0"/>
    <x v="3"/>
    <n v="4"/>
    <n v="1193"/>
    <n v="4772"/>
  </r>
  <r>
    <s v="ORD00031"/>
    <d v="2024-09-09T00:00:00"/>
    <x v="28"/>
    <x v="1"/>
    <x v="3"/>
    <n v="4"/>
    <n v="610"/>
    <n v="2440"/>
  </r>
  <r>
    <s v="ORD00032"/>
    <d v="2023-01-19T00:00:00"/>
    <x v="29"/>
    <x v="2"/>
    <x v="4"/>
    <n v="2"/>
    <n v="1085"/>
    <n v="2170"/>
  </r>
  <r>
    <s v="ORD00033"/>
    <d v="2023-02-23T00:00:00"/>
    <x v="30"/>
    <x v="1"/>
    <x v="4"/>
    <n v="1"/>
    <n v="289"/>
    <n v="289"/>
  </r>
  <r>
    <s v="ORD00034"/>
    <d v="2023-06-09T00:00:00"/>
    <x v="31"/>
    <x v="0"/>
    <x v="1"/>
    <n v="1"/>
    <n v="956"/>
    <n v="956"/>
  </r>
  <r>
    <s v="ORD00035"/>
    <d v="2023-06-12T00:00:00"/>
    <x v="32"/>
    <x v="0"/>
    <x v="0"/>
    <n v="3"/>
    <n v="1116"/>
    <n v="3348"/>
  </r>
  <r>
    <s v="ORD00036"/>
    <d v="2024-01-07T00:00:00"/>
    <x v="33"/>
    <x v="1"/>
    <x v="3"/>
    <n v="4"/>
    <n v="390"/>
    <n v="1560"/>
  </r>
  <r>
    <s v="ORD00037"/>
    <d v="2024-05-23T00:00:00"/>
    <x v="34"/>
    <x v="0"/>
    <x v="2"/>
    <n v="2"/>
    <n v="286"/>
    <n v="572"/>
  </r>
  <r>
    <s v="ORD00038"/>
    <d v="2023-12-11T00:00:00"/>
    <x v="35"/>
    <x v="1"/>
    <x v="2"/>
    <n v="5"/>
    <n v="863"/>
    <n v="4315"/>
  </r>
  <r>
    <s v="ORD00039"/>
    <d v="2024-06-21T00:00:00"/>
    <x v="36"/>
    <x v="2"/>
    <x v="3"/>
    <n v="2"/>
    <n v="511"/>
    <n v="1022"/>
  </r>
  <r>
    <s v="ORD00040"/>
    <d v="2023-11-12T00:00:00"/>
    <x v="37"/>
    <x v="2"/>
    <x v="3"/>
    <n v="4"/>
    <n v="952"/>
    <n v="3808"/>
  </r>
  <r>
    <s v="ORD00041"/>
    <d v="2023-09-14T00:00:00"/>
    <x v="38"/>
    <x v="0"/>
    <x v="1"/>
    <n v="4"/>
    <n v="696"/>
    <n v="2784"/>
  </r>
  <r>
    <s v="ORD00042"/>
    <d v="2023-07-14T00:00:00"/>
    <x v="39"/>
    <x v="0"/>
    <x v="0"/>
    <n v="3"/>
    <n v="953"/>
    <n v="2859"/>
  </r>
  <r>
    <s v="ORD00043"/>
    <d v="2023-11-19T00:00:00"/>
    <x v="40"/>
    <x v="1"/>
    <x v="1"/>
    <n v="2"/>
    <n v="709"/>
    <n v="1418"/>
  </r>
  <r>
    <s v="ORD00044"/>
    <d v="2023-11-23T00:00:00"/>
    <x v="41"/>
    <x v="3"/>
    <x v="2"/>
    <n v="4"/>
    <n v="766"/>
    <n v="3064"/>
  </r>
  <r>
    <s v="ORD00045"/>
    <d v="2023-09-24T00:00:00"/>
    <x v="42"/>
    <x v="3"/>
    <x v="2"/>
    <n v="2"/>
    <n v="190"/>
    <n v="380"/>
  </r>
  <r>
    <s v="ORD00046"/>
    <d v="2023-08-08T00:00:00"/>
    <x v="43"/>
    <x v="0"/>
    <x v="4"/>
    <n v="5"/>
    <n v="941"/>
    <n v="4705"/>
  </r>
  <r>
    <s v="ORD00047"/>
    <d v="2023-09-24T00:00:00"/>
    <x v="34"/>
    <x v="0"/>
    <x v="2"/>
    <n v="2"/>
    <n v="540"/>
    <n v="1080"/>
  </r>
  <r>
    <s v="ORD00048"/>
    <d v="2023-06-14T00:00:00"/>
    <x v="44"/>
    <x v="1"/>
    <x v="4"/>
    <n v="4"/>
    <n v="1071"/>
    <n v="4284"/>
  </r>
  <r>
    <s v="ORD00049"/>
    <d v="2023-02-05T00:00:00"/>
    <x v="45"/>
    <x v="2"/>
    <x v="1"/>
    <n v="5"/>
    <n v="999"/>
    <n v="4995"/>
  </r>
  <r>
    <s v="ORD00050"/>
    <d v="2023-04-22T00:00:00"/>
    <x v="46"/>
    <x v="2"/>
    <x v="0"/>
    <n v="2"/>
    <n v="1137"/>
    <n v="2274"/>
  </r>
  <r>
    <s v="ORD00051"/>
    <d v="2023-10-20T00:00:00"/>
    <x v="47"/>
    <x v="2"/>
    <x v="1"/>
    <n v="4"/>
    <n v="325"/>
    <n v="1300"/>
  </r>
  <r>
    <s v="ORD00052"/>
    <d v="2024-06-27T00:00:00"/>
    <x v="48"/>
    <x v="2"/>
    <x v="4"/>
    <n v="3"/>
    <n v="632"/>
    <n v="1896"/>
  </r>
  <r>
    <s v="ORD00053"/>
    <d v="2023-05-16T00:00:00"/>
    <x v="49"/>
    <x v="2"/>
    <x v="3"/>
    <n v="2"/>
    <n v="777"/>
    <n v="1554"/>
  </r>
  <r>
    <s v="ORD00054"/>
    <d v="2023-12-31T00:00:00"/>
    <x v="50"/>
    <x v="1"/>
    <x v="0"/>
    <n v="5"/>
    <n v="306"/>
    <n v="1530"/>
  </r>
  <r>
    <s v="ORD00055"/>
    <d v="2024-05-08T00:00:00"/>
    <x v="51"/>
    <x v="3"/>
    <x v="4"/>
    <n v="4"/>
    <n v="611"/>
    <n v="2444"/>
  </r>
  <r>
    <s v="ORD00056"/>
    <d v="2024-07-21T00:00:00"/>
    <x v="52"/>
    <x v="3"/>
    <x v="1"/>
    <n v="1"/>
    <n v="669"/>
    <n v="669"/>
  </r>
  <r>
    <s v="ORD00057"/>
    <d v="2024-11-18T00:00:00"/>
    <x v="6"/>
    <x v="1"/>
    <x v="0"/>
    <n v="5"/>
    <n v="1030"/>
    <n v="5150"/>
  </r>
  <r>
    <s v="ORD00058"/>
    <d v="2023-08-01T00:00:00"/>
    <x v="53"/>
    <x v="2"/>
    <x v="4"/>
    <n v="4"/>
    <n v="1053"/>
    <n v="4212"/>
  </r>
  <r>
    <s v="ORD00059"/>
    <d v="2023-04-06T00:00:00"/>
    <x v="54"/>
    <x v="2"/>
    <x v="4"/>
    <n v="2"/>
    <n v="373"/>
    <n v="746"/>
  </r>
  <r>
    <s v="ORD00060"/>
    <d v="2024-07-21T00:00:00"/>
    <x v="55"/>
    <x v="1"/>
    <x v="4"/>
    <n v="5"/>
    <n v="310"/>
    <n v="1550"/>
  </r>
  <r>
    <s v="ORD00061"/>
    <d v="2024-10-26T00:00:00"/>
    <x v="56"/>
    <x v="1"/>
    <x v="1"/>
    <n v="5"/>
    <n v="362"/>
    <n v="1810"/>
  </r>
  <r>
    <s v="ORD00062"/>
    <d v="2023-08-30T00:00:00"/>
    <x v="57"/>
    <x v="0"/>
    <x v="1"/>
    <n v="1"/>
    <n v="124"/>
    <n v="124"/>
  </r>
  <r>
    <s v="ORD00063"/>
    <d v="2024-03-26T00:00:00"/>
    <x v="58"/>
    <x v="1"/>
    <x v="0"/>
    <n v="4"/>
    <n v="569"/>
    <n v="2276"/>
  </r>
  <r>
    <s v="ORD00064"/>
    <d v="2024-04-05T00:00:00"/>
    <x v="59"/>
    <x v="2"/>
    <x v="1"/>
    <n v="3"/>
    <n v="775"/>
    <n v="2325"/>
  </r>
  <r>
    <s v="ORD00065"/>
    <d v="2023-03-14T00:00:00"/>
    <x v="60"/>
    <x v="1"/>
    <x v="0"/>
    <n v="5"/>
    <n v="817"/>
    <n v="4085"/>
  </r>
  <r>
    <s v="ORD00066"/>
    <d v="2023-10-25T00:00:00"/>
    <x v="61"/>
    <x v="0"/>
    <x v="2"/>
    <n v="2"/>
    <n v="922"/>
    <n v="1844"/>
  </r>
  <r>
    <s v="ORD00067"/>
    <d v="2024-05-05T00:00:00"/>
    <x v="62"/>
    <x v="1"/>
    <x v="2"/>
    <n v="4"/>
    <n v="309"/>
    <n v="1236"/>
  </r>
  <r>
    <s v="ORD00068"/>
    <d v="2024-03-28T00:00:00"/>
    <x v="63"/>
    <x v="3"/>
    <x v="1"/>
    <n v="1"/>
    <n v="579"/>
    <n v="579"/>
  </r>
  <r>
    <s v="ORD00069"/>
    <d v="2024-02-24T00:00:00"/>
    <x v="64"/>
    <x v="0"/>
    <x v="0"/>
    <n v="3"/>
    <n v="276"/>
    <n v="828"/>
  </r>
  <r>
    <s v="ORD00070"/>
    <d v="2023-07-25T00:00:00"/>
    <x v="65"/>
    <x v="0"/>
    <x v="1"/>
    <n v="5"/>
    <n v="860"/>
    <n v="4300"/>
  </r>
  <r>
    <s v="ORD00071"/>
    <d v="2024-11-20T00:00:00"/>
    <x v="66"/>
    <x v="2"/>
    <x v="0"/>
    <n v="5"/>
    <n v="1108"/>
    <n v="5540"/>
  </r>
  <r>
    <s v="ORD00072"/>
    <d v="2024-08-17T00:00:00"/>
    <x v="67"/>
    <x v="3"/>
    <x v="4"/>
    <n v="2"/>
    <n v="113"/>
    <n v="226"/>
  </r>
  <r>
    <s v="ORD00073"/>
    <d v="2023-11-08T00:00:00"/>
    <x v="68"/>
    <x v="1"/>
    <x v="4"/>
    <n v="2"/>
    <n v="966"/>
    <n v="1932"/>
  </r>
  <r>
    <s v="ORD00074"/>
    <d v="2023-02-03T00:00:00"/>
    <x v="43"/>
    <x v="1"/>
    <x v="3"/>
    <n v="3"/>
    <n v="832"/>
    <n v="2496"/>
  </r>
  <r>
    <s v="ORD00075"/>
    <d v="2024-03-10T00:00:00"/>
    <x v="69"/>
    <x v="1"/>
    <x v="3"/>
    <n v="2"/>
    <n v="358"/>
    <n v="716"/>
  </r>
  <r>
    <s v="ORD00076"/>
    <d v="2024-02-21T00:00:00"/>
    <x v="70"/>
    <x v="0"/>
    <x v="2"/>
    <n v="2"/>
    <n v="261"/>
    <n v="522"/>
  </r>
  <r>
    <s v="ORD00077"/>
    <d v="2024-10-05T00:00:00"/>
    <x v="5"/>
    <x v="1"/>
    <x v="0"/>
    <n v="1"/>
    <n v="904"/>
    <n v="904"/>
  </r>
  <r>
    <s v="ORD00078"/>
    <d v="2023-02-14T00:00:00"/>
    <x v="71"/>
    <x v="2"/>
    <x v="1"/>
    <n v="1"/>
    <n v="449"/>
    <n v="449"/>
  </r>
  <r>
    <s v="ORD00079"/>
    <d v="2024-01-09T00:00:00"/>
    <x v="66"/>
    <x v="0"/>
    <x v="0"/>
    <n v="5"/>
    <n v="127"/>
    <n v="635"/>
  </r>
  <r>
    <s v="ORD00080"/>
    <d v="2024-05-31T00:00:00"/>
    <x v="72"/>
    <x v="2"/>
    <x v="3"/>
    <n v="4"/>
    <n v="1065"/>
    <n v="4260"/>
  </r>
  <r>
    <s v="ORD00081"/>
    <d v="2023-06-08T00:00:00"/>
    <x v="73"/>
    <x v="1"/>
    <x v="3"/>
    <n v="1"/>
    <n v="527"/>
    <n v="527"/>
  </r>
  <r>
    <s v="ORD00082"/>
    <d v="2024-09-26T00:00:00"/>
    <x v="74"/>
    <x v="2"/>
    <x v="1"/>
    <n v="5"/>
    <n v="542"/>
    <n v="2710"/>
  </r>
  <r>
    <s v="ORD00083"/>
    <d v="2023-04-16T00:00:00"/>
    <x v="75"/>
    <x v="1"/>
    <x v="2"/>
    <n v="5"/>
    <n v="406"/>
    <n v="2030"/>
  </r>
  <r>
    <s v="ORD00084"/>
    <d v="2023-10-27T00:00:00"/>
    <x v="76"/>
    <x v="2"/>
    <x v="3"/>
    <n v="3"/>
    <n v="935"/>
    <n v="2805"/>
  </r>
  <r>
    <s v="ORD00085"/>
    <d v="2023-10-13T00:00:00"/>
    <x v="77"/>
    <x v="0"/>
    <x v="3"/>
    <n v="4"/>
    <n v="366"/>
    <n v="1464"/>
  </r>
  <r>
    <s v="ORD00086"/>
    <d v="2024-05-24T00:00:00"/>
    <x v="78"/>
    <x v="0"/>
    <x v="3"/>
    <n v="1"/>
    <n v="380"/>
    <n v="380"/>
  </r>
  <r>
    <s v="ORD00087"/>
    <d v="2023-03-29T00:00:00"/>
    <x v="79"/>
    <x v="0"/>
    <x v="1"/>
    <n v="2"/>
    <n v="717"/>
    <n v="1434"/>
  </r>
  <r>
    <s v="ORD00088"/>
    <d v="2024-03-19T00:00:00"/>
    <x v="80"/>
    <x v="1"/>
    <x v="3"/>
    <n v="5"/>
    <n v="314"/>
    <n v="1570"/>
  </r>
  <r>
    <s v="ORD00089"/>
    <d v="2024-08-25T00:00:00"/>
    <x v="81"/>
    <x v="1"/>
    <x v="0"/>
    <n v="5"/>
    <n v="654"/>
    <n v="3270"/>
  </r>
  <r>
    <s v="ORD00090"/>
    <d v="2023-02-27T00:00:00"/>
    <x v="82"/>
    <x v="2"/>
    <x v="3"/>
    <n v="4"/>
    <n v="593"/>
    <n v="2372"/>
  </r>
  <r>
    <s v="ORD00091"/>
    <d v="2023-06-01T00:00:00"/>
    <x v="83"/>
    <x v="3"/>
    <x v="1"/>
    <n v="2"/>
    <n v="937"/>
    <n v="1874"/>
  </r>
  <r>
    <s v="ORD00092"/>
    <d v="2024-07-03T00:00:00"/>
    <x v="78"/>
    <x v="3"/>
    <x v="3"/>
    <n v="4"/>
    <n v="186"/>
    <n v="744"/>
  </r>
  <r>
    <s v="ORD00093"/>
    <d v="2023-04-18T00:00:00"/>
    <x v="84"/>
    <x v="0"/>
    <x v="4"/>
    <n v="3"/>
    <n v="415"/>
    <n v="1245"/>
  </r>
  <r>
    <s v="ORD00094"/>
    <d v="2023-02-23T00:00:00"/>
    <x v="69"/>
    <x v="3"/>
    <x v="1"/>
    <n v="5"/>
    <n v="373"/>
    <n v="1865"/>
  </r>
  <r>
    <s v="ORD00095"/>
    <d v="2024-10-15T00:00:00"/>
    <x v="85"/>
    <x v="0"/>
    <x v="3"/>
    <n v="3"/>
    <n v="645"/>
    <n v="1935"/>
  </r>
  <r>
    <s v="ORD00096"/>
    <d v="2023-02-27T00:00:00"/>
    <x v="86"/>
    <x v="3"/>
    <x v="4"/>
    <n v="3"/>
    <n v="1080"/>
    <n v="3240"/>
  </r>
  <r>
    <s v="ORD00097"/>
    <d v="2024-05-11T00:00:00"/>
    <x v="87"/>
    <x v="0"/>
    <x v="4"/>
    <n v="2"/>
    <n v="248"/>
    <n v="496"/>
  </r>
  <r>
    <s v="ORD00098"/>
    <d v="2023-10-26T00:00:00"/>
    <x v="81"/>
    <x v="3"/>
    <x v="0"/>
    <n v="2"/>
    <n v="240"/>
    <n v="480"/>
  </r>
  <r>
    <s v="ORD00099"/>
    <d v="2023-10-29T00:00:00"/>
    <x v="13"/>
    <x v="2"/>
    <x v="1"/>
    <n v="3"/>
    <n v="188"/>
    <n v="564"/>
  </r>
  <r>
    <s v="ORD00100"/>
    <d v="2024-06-18T00:00:00"/>
    <x v="29"/>
    <x v="1"/>
    <x v="0"/>
    <n v="2"/>
    <n v="1130"/>
    <n v="2260"/>
  </r>
  <r>
    <s v="ORD00101"/>
    <d v="2023-07-21T00:00:00"/>
    <x v="88"/>
    <x v="1"/>
    <x v="2"/>
    <n v="3"/>
    <n v="374"/>
    <n v="1122"/>
  </r>
  <r>
    <s v="ORD00102"/>
    <d v="2023-05-25T00:00:00"/>
    <x v="82"/>
    <x v="0"/>
    <x v="2"/>
    <n v="2"/>
    <n v="1147"/>
    <n v="2294"/>
  </r>
  <r>
    <s v="ORD00103"/>
    <d v="2024-07-31T00:00:00"/>
    <x v="89"/>
    <x v="0"/>
    <x v="3"/>
    <n v="1"/>
    <n v="541"/>
    <n v="541"/>
  </r>
  <r>
    <s v="ORD00104"/>
    <d v="2023-06-29T00:00:00"/>
    <x v="90"/>
    <x v="3"/>
    <x v="4"/>
    <n v="5"/>
    <n v="892"/>
    <n v="4460"/>
  </r>
  <r>
    <s v="ORD00105"/>
    <d v="2024-05-07T00:00:00"/>
    <x v="67"/>
    <x v="1"/>
    <x v="2"/>
    <n v="1"/>
    <n v="1162"/>
    <n v="1162"/>
  </r>
  <r>
    <s v="ORD00106"/>
    <d v="2024-03-29T00:00:00"/>
    <x v="91"/>
    <x v="1"/>
    <x v="3"/>
    <n v="1"/>
    <n v="859"/>
    <n v="859"/>
  </r>
  <r>
    <s v="ORD00107"/>
    <d v="2023-04-07T00:00:00"/>
    <x v="92"/>
    <x v="3"/>
    <x v="4"/>
    <n v="4"/>
    <n v="301"/>
    <n v="1204"/>
  </r>
  <r>
    <s v="ORD00108"/>
    <d v="2023-10-13T00:00:00"/>
    <x v="60"/>
    <x v="3"/>
    <x v="3"/>
    <n v="5"/>
    <n v="544"/>
    <n v="2720"/>
  </r>
  <r>
    <s v="ORD00109"/>
    <d v="2023-05-05T00:00:00"/>
    <x v="93"/>
    <x v="0"/>
    <x v="2"/>
    <n v="2"/>
    <n v="1135"/>
    <n v="2270"/>
  </r>
  <r>
    <s v="ORD00110"/>
    <d v="2024-07-08T00:00:00"/>
    <x v="94"/>
    <x v="2"/>
    <x v="3"/>
    <n v="3"/>
    <n v="114"/>
    <n v="342"/>
  </r>
  <r>
    <s v="ORD00111"/>
    <d v="2023-09-23T00:00:00"/>
    <x v="95"/>
    <x v="0"/>
    <x v="3"/>
    <n v="1"/>
    <n v="1030"/>
    <n v="1030"/>
  </r>
  <r>
    <s v="ORD00112"/>
    <d v="2023-05-18T00:00:00"/>
    <x v="93"/>
    <x v="3"/>
    <x v="4"/>
    <n v="2"/>
    <n v="1104"/>
    <n v="2208"/>
  </r>
  <r>
    <s v="ORD00113"/>
    <d v="2024-07-30T00:00:00"/>
    <x v="96"/>
    <x v="0"/>
    <x v="2"/>
    <n v="1"/>
    <n v="777"/>
    <n v="777"/>
  </r>
  <r>
    <s v="ORD00114"/>
    <d v="2023-06-11T00:00:00"/>
    <x v="97"/>
    <x v="0"/>
    <x v="3"/>
    <n v="4"/>
    <n v="929"/>
    <n v="3716"/>
  </r>
  <r>
    <s v="ORD00115"/>
    <d v="2023-11-02T00:00:00"/>
    <x v="98"/>
    <x v="1"/>
    <x v="4"/>
    <n v="3"/>
    <n v="274"/>
    <n v="822"/>
  </r>
  <r>
    <s v="ORD00116"/>
    <d v="2024-11-27T00:00:00"/>
    <x v="99"/>
    <x v="3"/>
    <x v="4"/>
    <n v="2"/>
    <n v="941"/>
    <n v="1882"/>
  </r>
  <r>
    <s v="ORD00117"/>
    <d v="2023-10-11T00:00:00"/>
    <x v="100"/>
    <x v="1"/>
    <x v="1"/>
    <n v="2"/>
    <n v="284"/>
    <n v="568"/>
  </r>
  <r>
    <s v="ORD00118"/>
    <d v="2024-02-23T00:00:00"/>
    <x v="101"/>
    <x v="2"/>
    <x v="3"/>
    <n v="2"/>
    <n v="647"/>
    <n v="1294"/>
  </r>
  <r>
    <s v="ORD00119"/>
    <d v="2024-02-14T00:00:00"/>
    <x v="102"/>
    <x v="3"/>
    <x v="2"/>
    <n v="1"/>
    <n v="421"/>
    <n v="421"/>
  </r>
  <r>
    <s v="ORD00120"/>
    <d v="2024-05-17T00:00:00"/>
    <x v="103"/>
    <x v="1"/>
    <x v="2"/>
    <n v="2"/>
    <n v="348"/>
    <n v="696"/>
  </r>
  <r>
    <s v="ORD00121"/>
    <d v="2023-10-03T00:00:00"/>
    <x v="43"/>
    <x v="3"/>
    <x v="0"/>
    <n v="2"/>
    <n v="558"/>
    <n v="1116"/>
  </r>
  <r>
    <s v="ORD00122"/>
    <d v="2024-09-29T00:00:00"/>
    <x v="45"/>
    <x v="0"/>
    <x v="4"/>
    <n v="1"/>
    <n v="622"/>
    <n v="622"/>
  </r>
  <r>
    <s v="ORD00123"/>
    <d v="2023-01-10T00:00:00"/>
    <x v="18"/>
    <x v="0"/>
    <x v="3"/>
    <n v="3"/>
    <n v="173"/>
    <n v="519"/>
  </r>
  <r>
    <s v="ORD00124"/>
    <d v="2024-01-09T00:00:00"/>
    <x v="43"/>
    <x v="2"/>
    <x v="4"/>
    <n v="4"/>
    <n v="432"/>
    <n v="1728"/>
  </r>
  <r>
    <s v="ORD00125"/>
    <d v="2023-06-06T00:00:00"/>
    <x v="104"/>
    <x v="1"/>
    <x v="0"/>
    <n v="3"/>
    <n v="201"/>
    <n v="603"/>
  </r>
  <r>
    <s v="ORD00126"/>
    <d v="2024-02-14T00:00:00"/>
    <x v="105"/>
    <x v="1"/>
    <x v="2"/>
    <n v="3"/>
    <n v="362"/>
    <n v="1086"/>
  </r>
  <r>
    <s v="ORD00127"/>
    <d v="2023-09-25T00:00:00"/>
    <x v="43"/>
    <x v="1"/>
    <x v="3"/>
    <n v="2"/>
    <n v="663"/>
    <n v="1326"/>
  </r>
  <r>
    <s v="ORD00128"/>
    <d v="2023-04-12T00:00:00"/>
    <x v="54"/>
    <x v="0"/>
    <x v="4"/>
    <n v="4"/>
    <n v="145"/>
    <n v="580"/>
  </r>
  <r>
    <s v="ORD00129"/>
    <d v="2023-10-28T00:00:00"/>
    <x v="106"/>
    <x v="0"/>
    <x v="0"/>
    <n v="2"/>
    <n v="295"/>
    <n v="590"/>
  </r>
  <r>
    <s v="ORD00130"/>
    <d v="2023-12-14T00:00:00"/>
    <x v="107"/>
    <x v="1"/>
    <x v="4"/>
    <n v="1"/>
    <n v="584"/>
    <n v="584"/>
  </r>
  <r>
    <s v="ORD00131"/>
    <d v="2023-11-05T00:00:00"/>
    <x v="108"/>
    <x v="0"/>
    <x v="3"/>
    <n v="4"/>
    <n v="678"/>
    <n v="2712"/>
  </r>
  <r>
    <s v="ORD00132"/>
    <d v="2023-07-23T00:00:00"/>
    <x v="109"/>
    <x v="3"/>
    <x v="3"/>
    <n v="5"/>
    <n v="208"/>
    <n v="1040"/>
  </r>
  <r>
    <s v="ORD00133"/>
    <d v="2023-11-21T00:00:00"/>
    <x v="73"/>
    <x v="2"/>
    <x v="2"/>
    <n v="4"/>
    <n v="777"/>
    <n v="3108"/>
  </r>
  <r>
    <s v="ORD00134"/>
    <d v="2024-07-14T00:00:00"/>
    <x v="110"/>
    <x v="1"/>
    <x v="3"/>
    <n v="1"/>
    <n v="110"/>
    <n v="110"/>
  </r>
  <r>
    <s v="ORD00135"/>
    <d v="2023-11-10T00:00:00"/>
    <x v="111"/>
    <x v="1"/>
    <x v="0"/>
    <n v="2"/>
    <n v="597"/>
    <n v="1194"/>
  </r>
  <r>
    <s v="ORD00136"/>
    <d v="2023-12-13T00:00:00"/>
    <x v="67"/>
    <x v="2"/>
    <x v="1"/>
    <n v="5"/>
    <n v="328"/>
    <n v="1640"/>
  </r>
  <r>
    <s v="ORD00137"/>
    <d v="2024-11-22T00:00:00"/>
    <x v="112"/>
    <x v="1"/>
    <x v="0"/>
    <n v="2"/>
    <n v="990"/>
    <n v="1980"/>
  </r>
  <r>
    <s v="ORD00138"/>
    <d v="2023-01-02T00:00:00"/>
    <x v="113"/>
    <x v="0"/>
    <x v="1"/>
    <n v="1"/>
    <n v="1106"/>
    <n v="1106"/>
  </r>
  <r>
    <s v="ORD00139"/>
    <d v="2023-03-04T00:00:00"/>
    <x v="114"/>
    <x v="0"/>
    <x v="2"/>
    <n v="2"/>
    <n v="122"/>
    <n v="244"/>
  </r>
  <r>
    <s v="ORD00140"/>
    <d v="2023-12-16T00:00:00"/>
    <x v="115"/>
    <x v="2"/>
    <x v="2"/>
    <n v="5"/>
    <n v="825"/>
    <n v="4125"/>
  </r>
  <r>
    <s v="ORD00141"/>
    <d v="2023-09-14T00:00:00"/>
    <x v="37"/>
    <x v="1"/>
    <x v="4"/>
    <n v="2"/>
    <n v="1199"/>
    <n v="2398"/>
  </r>
  <r>
    <s v="ORD00142"/>
    <d v="2024-05-10T00:00:00"/>
    <x v="57"/>
    <x v="3"/>
    <x v="4"/>
    <n v="3"/>
    <n v="1007"/>
    <n v="3021"/>
  </r>
  <r>
    <s v="ORD00143"/>
    <d v="2023-03-06T00:00:00"/>
    <x v="116"/>
    <x v="1"/>
    <x v="0"/>
    <n v="1"/>
    <n v="652"/>
    <n v="652"/>
  </r>
  <r>
    <s v="ORD00144"/>
    <d v="2023-06-07T00:00:00"/>
    <x v="117"/>
    <x v="2"/>
    <x v="1"/>
    <n v="1"/>
    <n v="792"/>
    <n v="792"/>
  </r>
  <r>
    <s v="ORD00145"/>
    <d v="2023-11-19T00:00:00"/>
    <x v="47"/>
    <x v="1"/>
    <x v="2"/>
    <n v="2"/>
    <n v="658"/>
    <n v="1316"/>
  </r>
  <r>
    <s v="ORD00146"/>
    <d v="2024-03-09T00:00:00"/>
    <x v="85"/>
    <x v="3"/>
    <x v="0"/>
    <n v="2"/>
    <n v="858"/>
    <n v="1716"/>
  </r>
  <r>
    <s v="ORD00147"/>
    <d v="2023-08-02T00:00:00"/>
    <x v="118"/>
    <x v="0"/>
    <x v="4"/>
    <n v="3"/>
    <n v="253"/>
    <n v="759"/>
  </r>
  <r>
    <s v="ORD00148"/>
    <d v="2024-09-02T00:00:00"/>
    <x v="119"/>
    <x v="2"/>
    <x v="2"/>
    <n v="4"/>
    <n v="306"/>
    <n v="1224"/>
  </r>
  <r>
    <s v="ORD00149"/>
    <d v="2023-04-22T00:00:00"/>
    <x v="120"/>
    <x v="3"/>
    <x v="0"/>
    <n v="5"/>
    <n v="1183"/>
    <n v="5915"/>
  </r>
  <r>
    <s v="ORD00150"/>
    <d v="2024-11-18T00:00:00"/>
    <x v="61"/>
    <x v="1"/>
    <x v="4"/>
    <n v="3"/>
    <n v="1133"/>
    <n v="3399"/>
  </r>
  <r>
    <s v="ORD00151"/>
    <d v="2024-08-06T00:00:00"/>
    <x v="121"/>
    <x v="2"/>
    <x v="1"/>
    <n v="4"/>
    <n v="741"/>
    <n v="2964"/>
  </r>
  <r>
    <s v="ORD00152"/>
    <d v="2024-07-07T00:00:00"/>
    <x v="112"/>
    <x v="1"/>
    <x v="4"/>
    <n v="4"/>
    <n v="780"/>
    <n v="3120"/>
  </r>
  <r>
    <s v="ORD00153"/>
    <d v="2024-08-24T00:00:00"/>
    <x v="122"/>
    <x v="1"/>
    <x v="4"/>
    <n v="3"/>
    <n v="525"/>
    <n v="1575"/>
  </r>
  <r>
    <s v="ORD00154"/>
    <d v="2023-11-12T00:00:00"/>
    <x v="123"/>
    <x v="1"/>
    <x v="2"/>
    <n v="4"/>
    <n v="876"/>
    <n v="3504"/>
  </r>
  <r>
    <s v="ORD00155"/>
    <d v="2024-06-29T00:00:00"/>
    <x v="110"/>
    <x v="1"/>
    <x v="1"/>
    <n v="5"/>
    <n v="321"/>
    <n v="1605"/>
  </r>
  <r>
    <s v="ORD00156"/>
    <d v="2024-06-20T00:00:00"/>
    <x v="34"/>
    <x v="3"/>
    <x v="0"/>
    <n v="4"/>
    <n v="180"/>
    <n v="720"/>
  </r>
  <r>
    <s v="ORD00157"/>
    <d v="2023-11-05T00:00:00"/>
    <x v="124"/>
    <x v="1"/>
    <x v="0"/>
    <n v="4"/>
    <n v="1127"/>
    <n v="4508"/>
  </r>
  <r>
    <s v="ORD00158"/>
    <d v="2024-07-15T00:00:00"/>
    <x v="125"/>
    <x v="3"/>
    <x v="0"/>
    <n v="5"/>
    <n v="404"/>
    <n v="2020"/>
  </r>
  <r>
    <s v="ORD00159"/>
    <d v="2024-09-28T00:00:00"/>
    <x v="126"/>
    <x v="3"/>
    <x v="2"/>
    <n v="4"/>
    <n v="692"/>
    <n v="2768"/>
  </r>
  <r>
    <s v="ORD00160"/>
    <d v="2023-07-23T00:00:00"/>
    <x v="127"/>
    <x v="3"/>
    <x v="2"/>
    <n v="5"/>
    <n v="758"/>
    <n v="3790"/>
  </r>
  <r>
    <s v="ORD00161"/>
    <d v="2024-03-10T00:00:00"/>
    <x v="128"/>
    <x v="3"/>
    <x v="2"/>
    <n v="2"/>
    <n v="1189"/>
    <n v="2378"/>
  </r>
  <r>
    <s v="ORD00162"/>
    <d v="2024-02-23T00:00:00"/>
    <x v="70"/>
    <x v="2"/>
    <x v="0"/>
    <n v="4"/>
    <n v="791"/>
    <n v="3164"/>
  </r>
  <r>
    <s v="ORD00163"/>
    <d v="2024-04-21T00:00:00"/>
    <x v="129"/>
    <x v="2"/>
    <x v="4"/>
    <n v="2"/>
    <n v="808"/>
    <n v="1616"/>
  </r>
  <r>
    <s v="ORD00164"/>
    <d v="2024-05-13T00:00:00"/>
    <x v="30"/>
    <x v="1"/>
    <x v="3"/>
    <n v="1"/>
    <n v="365"/>
    <n v="365"/>
  </r>
  <r>
    <s v="ORD00165"/>
    <d v="2024-05-15T00:00:00"/>
    <x v="47"/>
    <x v="2"/>
    <x v="3"/>
    <n v="4"/>
    <n v="785"/>
    <n v="3140"/>
  </r>
  <r>
    <s v="ORD00166"/>
    <d v="2023-03-11T00:00:00"/>
    <x v="130"/>
    <x v="3"/>
    <x v="1"/>
    <n v="3"/>
    <n v="710"/>
    <n v="2130"/>
  </r>
  <r>
    <s v="ORD00167"/>
    <d v="2023-02-18T00:00:00"/>
    <x v="131"/>
    <x v="2"/>
    <x v="1"/>
    <n v="4"/>
    <n v="1123"/>
    <n v="4492"/>
  </r>
  <r>
    <s v="ORD00168"/>
    <d v="2024-04-07T00:00:00"/>
    <x v="39"/>
    <x v="0"/>
    <x v="0"/>
    <n v="5"/>
    <n v="492"/>
    <n v="2460"/>
  </r>
  <r>
    <s v="ORD00169"/>
    <d v="2024-05-14T00:00:00"/>
    <x v="125"/>
    <x v="0"/>
    <x v="3"/>
    <n v="2"/>
    <n v="196"/>
    <n v="392"/>
  </r>
  <r>
    <s v="ORD00170"/>
    <d v="2023-12-03T00:00:00"/>
    <x v="122"/>
    <x v="0"/>
    <x v="2"/>
    <n v="5"/>
    <n v="467"/>
    <n v="2335"/>
  </r>
  <r>
    <s v="ORD00171"/>
    <d v="2024-04-20T00:00:00"/>
    <x v="132"/>
    <x v="2"/>
    <x v="4"/>
    <n v="3"/>
    <n v="822"/>
    <n v="2466"/>
  </r>
  <r>
    <s v="ORD00172"/>
    <d v="2024-07-22T00:00:00"/>
    <x v="133"/>
    <x v="1"/>
    <x v="1"/>
    <n v="3"/>
    <n v="1118"/>
    <n v="3354"/>
  </r>
  <r>
    <s v="ORD00173"/>
    <d v="2023-04-19T00:00:00"/>
    <x v="134"/>
    <x v="1"/>
    <x v="2"/>
    <n v="3"/>
    <n v="1054"/>
    <n v="3162"/>
  </r>
  <r>
    <s v="ORD00174"/>
    <d v="2024-06-12T00:00:00"/>
    <x v="135"/>
    <x v="3"/>
    <x v="4"/>
    <n v="1"/>
    <n v="1080"/>
    <n v="1080"/>
  </r>
  <r>
    <s v="ORD00175"/>
    <d v="2024-01-02T00:00:00"/>
    <x v="136"/>
    <x v="2"/>
    <x v="2"/>
    <n v="1"/>
    <n v="873"/>
    <n v="873"/>
  </r>
  <r>
    <s v="ORD00176"/>
    <d v="2024-02-11T00:00:00"/>
    <x v="137"/>
    <x v="2"/>
    <x v="1"/>
    <n v="1"/>
    <n v="548"/>
    <n v="548"/>
  </r>
  <r>
    <s v="ORD00177"/>
    <d v="2023-01-03T00:00:00"/>
    <x v="138"/>
    <x v="1"/>
    <x v="4"/>
    <n v="4"/>
    <n v="981"/>
    <n v="3924"/>
  </r>
  <r>
    <s v="ORD00178"/>
    <d v="2023-03-07T00:00:00"/>
    <x v="139"/>
    <x v="1"/>
    <x v="3"/>
    <n v="2"/>
    <n v="822"/>
    <n v="1644"/>
  </r>
  <r>
    <s v="ORD00179"/>
    <d v="2024-03-03T00:00:00"/>
    <x v="140"/>
    <x v="3"/>
    <x v="3"/>
    <n v="4"/>
    <n v="959"/>
    <n v="3836"/>
  </r>
  <r>
    <s v="ORD00180"/>
    <d v="2023-12-05T00:00:00"/>
    <x v="141"/>
    <x v="3"/>
    <x v="2"/>
    <n v="5"/>
    <n v="233"/>
    <n v="1165"/>
  </r>
  <r>
    <s v="ORD00181"/>
    <d v="2024-07-28T00:00:00"/>
    <x v="128"/>
    <x v="0"/>
    <x v="3"/>
    <n v="5"/>
    <n v="1128"/>
    <n v="5640"/>
  </r>
  <r>
    <s v="ORD00182"/>
    <d v="2023-11-11T00:00:00"/>
    <x v="104"/>
    <x v="3"/>
    <x v="0"/>
    <n v="5"/>
    <n v="530"/>
    <n v="2650"/>
  </r>
  <r>
    <s v="ORD00183"/>
    <d v="2024-09-02T00:00:00"/>
    <x v="128"/>
    <x v="3"/>
    <x v="3"/>
    <n v="4"/>
    <n v="909"/>
    <n v="3636"/>
  </r>
  <r>
    <s v="ORD00184"/>
    <d v="2024-03-07T00:00:00"/>
    <x v="142"/>
    <x v="3"/>
    <x v="0"/>
    <n v="5"/>
    <n v="963"/>
    <n v="4815"/>
  </r>
  <r>
    <s v="ORD00185"/>
    <d v="2023-02-03T00:00:00"/>
    <x v="143"/>
    <x v="2"/>
    <x v="3"/>
    <n v="4"/>
    <n v="1052"/>
    <n v="4208"/>
  </r>
  <r>
    <s v="ORD00186"/>
    <d v="2023-12-27T00:00:00"/>
    <x v="125"/>
    <x v="1"/>
    <x v="0"/>
    <n v="2"/>
    <n v="832"/>
    <n v="1664"/>
  </r>
  <r>
    <s v="ORD00187"/>
    <d v="2023-01-04T00:00:00"/>
    <x v="144"/>
    <x v="1"/>
    <x v="3"/>
    <n v="5"/>
    <n v="855"/>
    <n v="4275"/>
  </r>
  <r>
    <s v="ORD00188"/>
    <d v="2023-11-23T00:00:00"/>
    <x v="145"/>
    <x v="1"/>
    <x v="1"/>
    <n v="1"/>
    <n v="794"/>
    <n v="794"/>
  </r>
  <r>
    <s v="ORD00189"/>
    <d v="2023-09-19T00:00:00"/>
    <x v="146"/>
    <x v="0"/>
    <x v="4"/>
    <n v="2"/>
    <n v="634"/>
    <n v="1268"/>
  </r>
  <r>
    <s v="ORD00190"/>
    <d v="2024-07-07T00:00:00"/>
    <x v="147"/>
    <x v="2"/>
    <x v="0"/>
    <n v="1"/>
    <n v="406"/>
    <n v="406"/>
  </r>
  <r>
    <s v="ORD00191"/>
    <d v="2023-08-18T00:00:00"/>
    <x v="148"/>
    <x v="1"/>
    <x v="4"/>
    <n v="3"/>
    <n v="846"/>
    <n v="2538"/>
  </r>
  <r>
    <s v="ORD00192"/>
    <d v="2024-08-18T00:00:00"/>
    <x v="149"/>
    <x v="0"/>
    <x v="1"/>
    <n v="5"/>
    <n v="1190"/>
    <n v="5950"/>
  </r>
  <r>
    <s v="ORD00193"/>
    <d v="2023-08-02T00:00:00"/>
    <x v="150"/>
    <x v="0"/>
    <x v="1"/>
    <n v="1"/>
    <n v="336"/>
    <n v="336"/>
  </r>
  <r>
    <s v="ORD00194"/>
    <d v="2024-06-11T00:00:00"/>
    <x v="151"/>
    <x v="1"/>
    <x v="3"/>
    <n v="2"/>
    <n v="1068"/>
    <n v="2136"/>
  </r>
  <r>
    <s v="ORD00195"/>
    <d v="2024-02-21T00:00:00"/>
    <x v="152"/>
    <x v="0"/>
    <x v="3"/>
    <n v="4"/>
    <n v="893"/>
    <n v="3572"/>
  </r>
  <r>
    <s v="ORD00196"/>
    <d v="2024-05-28T00:00:00"/>
    <x v="138"/>
    <x v="2"/>
    <x v="0"/>
    <n v="5"/>
    <n v="1087"/>
    <n v="5435"/>
  </r>
  <r>
    <s v="ORD00197"/>
    <d v="2023-04-16T00:00:00"/>
    <x v="153"/>
    <x v="2"/>
    <x v="1"/>
    <n v="3"/>
    <n v="1068"/>
    <n v="3204"/>
  </r>
  <r>
    <s v="ORD00198"/>
    <d v="2023-04-25T00:00:00"/>
    <x v="154"/>
    <x v="3"/>
    <x v="2"/>
    <n v="4"/>
    <n v="1086"/>
    <n v="4344"/>
  </r>
  <r>
    <s v="ORD00199"/>
    <d v="2024-06-17T00:00:00"/>
    <x v="155"/>
    <x v="0"/>
    <x v="1"/>
    <n v="1"/>
    <n v="162"/>
    <n v="162"/>
  </r>
  <r>
    <s v="ORD00200"/>
    <d v="2023-10-03T00:00:00"/>
    <x v="156"/>
    <x v="3"/>
    <x v="3"/>
    <n v="1"/>
    <n v="263"/>
    <n v="263"/>
  </r>
  <r>
    <s v="ORD00201"/>
    <d v="2023-10-04T00:00:00"/>
    <x v="157"/>
    <x v="3"/>
    <x v="4"/>
    <n v="1"/>
    <n v="206"/>
    <n v="206"/>
  </r>
  <r>
    <s v="ORD00202"/>
    <d v="2024-05-09T00:00:00"/>
    <x v="158"/>
    <x v="2"/>
    <x v="2"/>
    <n v="3"/>
    <n v="232"/>
    <n v="696"/>
  </r>
  <r>
    <s v="ORD00203"/>
    <d v="2023-11-06T00:00:00"/>
    <x v="60"/>
    <x v="3"/>
    <x v="3"/>
    <n v="5"/>
    <n v="413"/>
    <n v="2065"/>
  </r>
  <r>
    <s v="ORD00204"/>
    <d v="2024-05-03T00:00:00"/>
    <x v="159"/>
    <x v="0"/>
    <x v="0"/>
    <n v="5"/>
    <n v="207"/>
    <n v="1035"/>
  </r>
  <r>
    <s v="ORD00205"/>
    <d v="2023-09-28T00:00:00"/>
    <x v="160"/>
    <x v="0"/>
    <x v="3"/>
    <n v="3"/>
    <n v="549"/>
    <n v="1647"/>
  </r>
  <r>
    <s v="ORD00206"/>
    <d v="2024-07-17T00:00:00"/>
    <x v="161"/>
    <x v="0"/>
    <x v="3"/>
    <n v="5"/>
    <n v="867"/>
    <n v="4335"/>
  </r>
  <r>
    <s v="ORD00207"/>
    <d v="2023-06-24T00:00:00"/>
    <x v="152"/>
    <x v="1"/>
    <x v="4"/>
    <n v="3"/>
    <n v="183"/>
    <n v="549"/>
  </r>
  <r>
    <s v="ORD00208"/>
    <d v="2023-10-21T00:00:00"/>
    <x v="51"/>
    <x v="3"/>
    <x v="0"/>
    <n v="1"/>
    <n v="827"/>
    <n v="827"/>
  </r>
  <r>
    <s v="ORD00209"/>
    <d v="2024-03-20T00:00:00"/>
    <x v="70"/>
    <x v="0"/>
    <x v="1"/>
    <n v="3"/>
    <n v="135"/>
    <n v="405"/>
  </r>
  <r>
    <s v="ORD00210"/>
    <d v="2023-06-16T00:00:00"/>
    <x v="162"/>
    <x v="1"/>
    <x v="0"/>
    <n v="5"/>
    <n v="367"/>
    <n v="1835"/>
  </r>
  <r>
    <s v="ORD00211"/>
    <d v="2023-02-13T00:00:00"/>
    <x v="96"/>
    <x v="3"/>
    <x v="1"/>
    <n v="5"/>
    <n v="283"/>
    <n v="1415"/>
  </r>
  <r>
    <s v="ORD00212"/>
    <d v="2023-08-25T00:00:00"/>
    <x v="110"/>
    <x v="1"/>
    <x v="0"/>
    <n v="4"/>
    <n v="789"/>
    <n v="3156"/>
  </r>
  <r>
    <s v="ORD00213"/>
    <d v="2023-01-09T00:00:00"/>
    <x v="163"/>
    <x v="0"/>
    <x v="0"/>
    <n v="1"/>
    <n v="107"/>
    <n v="107"/>
  </r>
  <r>
    <s v="ORD00214"/>
    <d v="2023-01-17T00:00:00"/>
    <x v="54"/>
    <x v="3"/>
    <x v="4"/>
    <n v="3"/>
    <n v="561"/>
    <n v="1683"/>
  </r>
  <r>
    <s v="ORD00215"/>
    <d v="2024-09-02T00:00:00"/>
    <x v="164"/>
    <x v="1"/>
    <x v="2"/>
    <n v="4"/>
    <n v="846"/>
    <n v="3384"/>
  </r>
  <r>
    <s v="ORD00216"/>
    <d v="2023-09-16T00:00:00"/>
    <x v="165"/>
    <x v="3"/>
    <x v="1"/>
    <n v="2"/>
    <n v="572"/>
    <n v="1144"/>
  </r>
  <r>
    <s v="ORD00217"/>
    <d v="2024-02-04T00:00:00"/>
    <x v="72"/>
    <x v="3"/>
    <x v="3"/>
    <n v="1"/>
    <n v="986"/>
    <n v="986"/>
  </r>
  <r>
    <s v="ORD00218"/>
    <d v="2023-12-15T00:00:00"/>
    <x v="166"/>
    <x v="0"/>
    <x v="4"/>
    <n v="3"/>
    <n v="992"/>
    <n v="2976"/>
  </r>
  <r>
    <s v="ORD00219"/>
    <d v="2023-01-01T00:00:00"/>
    <x v="127"/>
    <x v="1"/>
    <x v="3"/>
    <n v="2"/>
    <n v="938"/>
    <n v="1876"/>
  </r>
  <r>
    <s v="ORD00220"/>
    <d v="2023-05-23T00:00:00"/>
    <x v="167"/>
    <x v="1"/>
    <x v="0"/>
    <n v="1"/>
    <n v="487"/>
    <n v="487"/>
  </r>
  <r>
    <s v="ORD00221"/>
    <d v="2023-12-16T00:00:00"/>
    <x v="168"/>
    <x v="2"/>
    <x v="0"/>
    <n v="5"/>
    <n v="937"/>
    <n v="4685"/>
  </r>
  <r>
    <s v="ORD00222"/>
    <d v="2024-10-19T00:00:00"/>
    <x v="0"/>
    <x v="3"/>
    <x v="4"/>
    <n v="1"/>
    <n v="891"/>
    <n v="891"/>
  </r>
  <r>
    <s v="ORD00223"/>
    <d v="2024-10-18T00:00:00"/>
    <x v="81"/>
    <x v="0"/>
    <x v="2"/>
    <n v="3"/>
    <n v="152"/>
    <n v="456"/>
  </r>
  <r>
    <s v="ORD00224"/>
    <d v="2024-04-17T00:00:00"/>
    <x v="36"/>
    <x v="1"/>
    <x v="3"/>
    <n v="1"/>
    <n v="723"/>
    <n v="723"/>
  </r>
  <r>
    <s v="ORD00225"/>
    <d v="2023-02-15T00:00:00"/>
    <x v="91"/>
    <x v="3"/>
    <x v="2"/>
    <n v="4"/>
    <n v="500"/>
    <n v="2000"/>
  </r>
  <r>
    <s v="ORD00226"/>
    <d v="2024-03-09T00:00:00"/>
    <x v="148"/>
    <x v="0"/>
    <x v="3"/>
    <n v="3"/>
    <n v="408"/>
    <n v="1224"/>
  </r>
  <r>
    <s v="ORD00227"/>
    <d v="2024-11-12T00:00:00"/>
    <x v="169"/>
    <x v="3"/>
    <x v="4"/>
    <n v="3"/>
    <n v="204"/>
    <n v="612"/>
  </r>
  <r>
    <s v="ORD00228"/>
    <d v="2024-03-03T00:00:00"/>
    <x v="92"/>
    <x v="1"/>
    <x v="1"/>
    <n v="5"/>
    <n v="463"/>
    <n v="2315"/>
  </r>
  <r>
    <s v="ORD00229"/>
    <d v="2023-06-15T00:00:00"/>
    <x v="7"/>
    <x v="3"/>
    <x v="2"/>
    <n v="5"/>
    <n v="659"/>
    <n v="3295"/>
  </r>
  <r>
    <s v="ORD00230"/>
    <d v="2024-04-21T00:00:00"/>
    <x v="170"/>
    <x v="2"/>
    <x v="1"/>
    <n v="3"/>
    <n v="659"/>
    <n v="1977"/>
  </r>
  <r>
    <s v="ORD00231"/>
    <d v="2023-05-31T00:00:00"/>
    <x v="142"/>
    <x v="0"/>
    <x v="1"/>
    <n v="4"/>
    <n v="1135"/>
    <n v="4540"/>
  </r>
  <r>
    <s v="ORD00232"/>
    <d v="2023-12-05T00:00:00"/>
    <x v="171"/>
    <x v="0"/>
    <x v="0"/>
    <n v="2"/>
    <n v="277"/>
    <n v="554"/>
  </r>
  <r>
    <s v="ORD00233"/>
    <d v="2024-08-29T00:00:00"/>
    <x v="31"/>
    <x v="1"/>
    <x v="2"/>
    <n v="1"/>
    <n v="415"/>
    <n v="415"/>
  </r>
  <r>
    <s v="ORD00234"/>
    <d v="2024-08-24T00:00:00"/>
    <x v="73"/>
    <x v="1"/>
    <x v="1"/>
    <n v="4"/>
    <n v="813"/>
    <n v="3252"/>
  </r>
  <r>
    <s v="ORD00235"/>
    <d v="2023-05-12T00:00:00"/>
    <x v="79"/>
    <x v="3"/>
    <x v="2"/>
    <n v="1"/>
    <n v="157"/>
    <n v="157"/>
  </r>
  <r>
    <s v="ORD00236"/>
    <d v="2023-08-25T00:00:00"/>
    <x v="172"/>
    <x v="0"/>
    <x v="3"/>
    <n v="5"/>
    <n v="587"/>
    <n v="2935"/>
  </r>
  <r>
    <s v="ORD00237"/>
    <d v="2023-11-26T00:00:00"/>
    <x v="173"/>
    <x v="2"/>
    <x v="0"/>
    <n v="4"/>
    <n v="101"/>
    <n v="404"/>
  </r>
  <r>
    <s v="ORD00238"/>
    <d v="2023-11-30T00:00:00"/>
    <x v="174"/>
    <x v="3"/>
    <x v="0"/>
    <n v="1"/>
    <n v="238"/>
    <n v="238"/>
  </r>
  <r>
    <s v="ORD00239"/>
    <d v="2024-07-23T00:00:00"/>
    <x v="0"/>
    <x v="0"/>
    <x v="3"/>
    <n v="2"/>
    <n v="1059"/>
    <n v="2118"/>
  </r>
  <r>
    <s v="ORD00240"/>
    <d v="2023-02-21T00:00:00"/>
    <x v="175"/>
    <x v="2"/>
    <x v="3"/>
    <n v="4"/>
    <n v="540"/>
    <n v="2160"/>
  </r>
  <r>
    <s v="ORD00241"/>
    <d v="2024-10-06T00:00:00"/>
    <x v="44"/>
    <x v="1"/>
    <x v="3"/>
    <n v="3"/>
    <n v="729"/>
    <n v="2187"/>
  </r>
  <r>
    <s v="ORD00242"/>
    <d v="2023-01-11T00:00:00"/>
    <x v="176"/>
    <x v="3"/>
    <x v="3"/>
    <n v="5"/>
    <n v="742"/>
    <n v="3710"/>
  </r>
  <r>
    <s v="ORD00243"/>
    <d v="2023-02-06T00:00:00"/>
    <x v="177"/>
    <x v="2"/>
    <x v="3"/>
    <n v="5"/>
    <n v="881"/>
    <n v="4405"/>
  </r>
  <r>
    <s v="ORD00244"/>
    <d v="2023-01-25T00:00:00"/>
    <x v="178"/>
    <x v="2"/>
    <x v="4"/>
    <n v="1"/>
    <n v="578"/>
    <n v="578"/>
  </r>
  <r>
    <s v="ORD00245"/>
    <d v="2023-08-07T00:00:00"/>
    <x v="42"/>
    <x v="2"/>
    <x v="4"/>
    <n v="5"/>
    <n v="553"/>
    <n v="2765"/>
  </r>
  <r>
    <s v="ORD00246"/>
    <d v="2024-05-06T00:00:00"/>
    <x v="179"/>
    <x v="0"/>
    <x v="1"/>
    <n v="5"/>
    <n v="562"/>
    <n v="2810"/>
  </r>
  <r>
    <s v="ORD00247"/>
    <d v="2023-09-23T00:00:00"/>
    <x v="180"/>
    <x v="1"/>
    <x v="3"/>
    <n v="5"/>
    <n v="237"/>
    <n v="1185"/>
  </r>
  <r>
    <s v="ORD00248"/>
    <d v="2024-04-24T00:00:00"/>
    <x v="181"/>
    <x v="1"/>
    <x v="0"/>
    <n v="4"/>
    <n v="441"/>
    <n v="1764"/>
  </r>
  <r>
    <s v="ORD00249"/>
    <d v="2023-01-25T00:00:00"/>
    <x v="85"/>
    <x v="0"/>
    <x v="4"/>
    <n v="5"/>
    <n v="759"/>
    <n v="3795"/>
  </r>
  <r>
    <s v="ORD00250"/>
    <d v="2024-06-10T00:00:00"/>
    <x v="182"/>
    <x v="1"/>
    <x v="2"/>
    <n v="4"/>
    <n v="665"/>
    <n v="2660"/>
  </r>
  <r>
    <s v="ORD00251"/>
    <d v="2023-10-17T00:00:00"/>
    <x v="106"/>
    <x v="3"/>
    <x v="0"/>
    <n v="5"/>
    <n v="837"/>
    <n v="4185"/>
  </r>
  <r>
    <s v="ORD00252"/>
    <d v="2023-11-20T00:00:00"/>
    <x v="183"/>
    <x v="1"/>
    <x v="4"/>
    <n v="3"/>
    <n v="191"/>
    <n v="573"/>
  </r>
  <r>
    <s v="ORD00253"/>
    <d v="2023-10-24T00:00:00"/>
    <x v="184"/>
    <x v="3"/>
    <x v="0"/>
    <n v="5"/>
    <n v="920"/>
    <n v="4600"/>
  </r>
  <r>
    <s v="ORD00254"/>
    <d v="2023-01-20T00:00:00"/>
    <x v="185"/>
    <x v="0"/>
    <x v="3"/>
    <n v="4"/>
    <n v="954"/>
    <n v="3816"/>
  </r>
  <r>
    <s v="ORD00255"/>
    <d v="2024-06-15T00:00:00"/>
    <x v="22"/>
    <x v="3"/>
    <x v="1"/>
    <n v="2"/>
    <n v="1086"/>
    <n v="2172"/>
  </r>
  <r>
    <s v="ORD00256"/>
    <d v="2023-09-15T00:00:00"/>
    <x v="186"/>
    <x v="1"/>
    <x v="3"/>
    <n v="1"/>
    <n v="1149"/>
    <n v="1149"/>
  </r>
  <r>
    <s v="ORD00257"/>
    <d v="2024-06-09T00:00:00"/>
    <x v="101"/>
    <x v="0"/>
    <x v="1"/>
    <n v="2"/>
    <n v="458"/>
    <n v="916"/>
  </r>
  <r>
    <s v="ORD00258"/>
    <d v="2024-11-22T00:00:00"/>
    <x v="149"/>
    <x v="1"/>
    <x v="4"/>
    <n v="2"/>
    <n v="938"/>
    <n v="1876"/>
  </r>
  <r>
    <s v="ORD00259"/>
    <d v="2023-05-31T00:00:00"/>
    <x v="187"/>
    <x v="1"/>
    <x v="0"/>
    <n v="2"/>
    <n v="531"/>
    <n v="1062"/>
  </r>
  <r>
    <s v="ORD00260"/>
    <d v="2023-07-17T00:00:00"/>
    <x v="129"/>
    <x v="1"/>
    <x v="2"/>
    <n v="3"/>
    <n v="792"/>
    <n v="2376"/>
  </r>
  <r>
    <s v="ORD00261"/>
    <d v="2024-04-29T00:00:00"/>
    <x v="146"/>
    <x v="3"/>
    <x v="1"/>
    <n v="4"/>
    <n v="719"/>
    <n v="2876"/>
  </r>
  <r>
    <s v="ORD00262"/>
    <d v="2023-01-09T00:00:00"/>
    <x v="133"/>
    <x v="1"/>
    <x v="3"/>
    <n v="2"/>
    <n v="303"/>
    <n v="606"/>
  </r>
  <r>
    <s v="ORD00263"/>
    <d v="2023-02-08T00:00:00"/>
    <x v="188"/>
    <x v="2"/>
    <x v="3"/>
    <n v="3"/>
    <n v="1079"/>
    <n v="3237"/>
  </r>
  <r>
    <s v="ORD00264"/>
    <d v="2023-01-24T00:00:00"/>
    <x v="144"/>
    <x v="1"/>
    <x v="3"/>
    <n v="2"/>
    <n v="527"/>
    <n v="1054"/>
  </r>
  <r>
    <s v="ORD00265"/>
    <d v="2023-02-09T00:00:00"/>
    <x v="189"/>
    <x v="0"/>
    <x v="1"/>
    <n v="2"/>
    <n v="1041"/>
    <n v="2082"/>
  </r>
  <r>
    <s v="ORD00266"/>
    <d v="2023-08-04T00:00:00"/>
    <x v="190"/>
    <x v="1"/>
    <x v="2"/>
    <n v="3"/>
    <n v="1015"/>
    <n v="3045"/>
  </r>
  <r>
    <s v="ORD00267"/>
    <d v="2023-06-12T00:00:00"/>
    <x v="114"/>
    <x v="0"/>
    <x v="1"/>
    <n v="3"/>
    <n v="550"/>
    <n v="1650"/>
  </r>
  <r>
    <s v="ORD00268"/>
    <d v="2024-08-05T00:00:00"/>
    <x v="85"/>
    <x v="0"/>
    <x v="0"/>
    <n v="5"/>
    <n v="864"/>
    <n v="4320"/>
  </r>
  <r>
    <s v="ORD00269"/>
    <d v="2024-05-07T00:00:00"/>
    <x v="191"/>
    <x v="3"/>
    <x v="2"/>
    <n v="5"/>
    <n v="1191"/>
    <n v="5955"/>
  </r>
  <r>
    <s v="ORD00270"/>
    <d v="2023-05-23T00:00:00"/>
    <x v="84"/>
    <x v="2"/>
    <x v="0"/>
    <n v="3"/>
    <n v="1038"/>
    <n v="3114"/>
  </r>
  <r>
    <s v="ORD00271"/>
    <d v="2023-03-15T00:00:00"/>
    <x v="192"/>
    <x v="3"/>
    <x v="2"/>
    <n v="5"/>
    <n v="335"/>
    <n v="1675"/>
  </r>
  <r>
    <s v="ORD00272"/>
    <d v="2023-01-27T00:00:00"/>
    <x v="48"/>
    <x v="3"/>
    <x v="0"/>
    <n v="3"/>
    <n v="912"/>
    <n v="2736"/>
  </r>
  <r>
    <s v="ORD00273"/>
    <d v="2023-10-20T00:00:00"/>
    <x v="102"/>
    <x v="0"/>
    <x v="2"/>
    <n v="1"/>
    <n v="452"/>
    <n v="452"/>
  </r>
  <r>
    <s v="ORD00274"/>
    <d v="2023-12-03T00:00:00"/>
    <x v="193"/>
    <x v="1"/>
    <x v="1"/>
    <n v="5"/>
    <n v="527"/>
    <n v="2635"/>
  </r>
  <r>
    <s v="ORD00275"/>
    <d v="2024-10-02T00:00:00"/>
    <x v="20"/>
    <x v="3"/>
    <x v="0"/>
    <n v="1"/>
    <n v="630"/>
    <n v="630"/>
  </r>
  <r>
    <s v="ORD00276"/>
    <d v="2024-10-21T00:00:00"/>
    <x v="148"/>
    <x v="1"/>
    <x v="0"/>
    <n v="3"/>
    <n v="1129"/>
    <n v="3387"/>
  </r>
  <r>
    <s v="ORD00277"/>
    <d v="2024-03-03T00:00:00"/>
    <x v="64"/>
    <x v="0"/>
    <x v="4"/>
    <n v="4"/>
    <n v="453"/>
    <n v="1812"/>
  </r>
  <r>
    <s v="ORD00278"/>
    <d v="2023-03-29T00:00:00"/>
    <x v="121"/>
    <x v="3"/>
    <x v="4"/>
    <n v="1"/>
    <n v="624"/>
    <n v="624"/>
  </r>
  <r>
    <s v="ORD00279"/>
    <d v="2023-05-08T00:00:00"/>
    <x v="194"/>
    <x v="3"/>
    <x v="2"/>
    <n v="2"/>
    <n v="1160"/>
    <n v="2320"/>
  </r>
  <r>
    <s v="ORD00280"/>
    <d v="2023-02-27T00:00:00"/>
    <x v="135"/>
    <x v="2"/>
    <x v="4"/>
    <n v="3"/>
    <n v="1051"/>
    <n v="3153"/>
  </r>
  <r>
    <s v="ORD00281"/>
    <d v="2024-06-03T00:00:00"/>
    <x v="106"/>
    <x v="3"/>
    <x v="2"/>
    <n v="1"/>
    <n v="601"/>
    <n v="601"/>
  </r>
  <r>
    <s v="ORD00282"/>
    <d v="2023-12-08T00:00:00"/>
    <x v="195"/>
    <x v="2"/>
    <x v="2"/>
    <n v="4"/>
    <n v="626"/>
    <n v="2504"/>
  </r>
  <r>
    <s v="ORD00283"/>
    <d v="2023-06-13T00:00:00"/>
    <x v="166"/>
    <x v="3"/>
    <x v="1"/>
    <n v="5"/>
    <n v="1096"/>
    <n v="5480"/>
  </r>
  <r>
    <s v="ORD00284"/>
    <d v="2024-09-05T00:00:00"/>
    <x v="33"/>
    <x v="3"/>
    <x v="4"/>
    <n v="4"/>
    <n v="376"/>
    <n v="1504"/>
  </r>
  <r>
    <s v="ORD00285"/>
    <d v="2023-04-19T00:00:00"/>
    <x v="54"/>
    <x v="2"/>
    <x v="3"/>
    <n v="1"/>
    <n v="1061"/>
    <n v="1061"/>
  </r>
  <r>
    <s v="ORD00286"/>
    <d v="2024-11-27T00:00:00"/>
    <x v="196"/>
    <x v="1"/>
    <x v="1"/>
    <n v="3"/>
    <n v="820"/>
    <n v="2460"/>
  </r>
  <r>
    <s v="ORD00287"/>
    <d v="2024-10-28T00:00:00"/>
    <x v="173"/>
    <x v="1"/>
    <x v="4"/>
    <n v="2"/>
    <n v="601"/>
    <n v="1202"/>
  </r>
  <r>
    <s v="ORD00288"/>
    <d v="2023-08-06T00:00:00"/>
    <x v="186"/>
    <x v="2"/>
    <x v="1"/>
    <n v="3"/>
    <n v="354"/>
    <n v="1062"/>
  </r>
  <r>
    <s v="ORD00289"/>
    <d v="2023-01-24T00:00:00"/>
    <x v="29"/>
    <x v="2"/>
    <x v="4"/>
    <n v="5"/>
    <n v="279"/>
    <n v="1395"/>
  </r>
  <r>
    <s v="ORD00290"/>
    <d v="2024-05-11T00:00:00"/>
    <x v="197"/>
    <x v="2"/>
    <x v="0"/>
    <n v="2"/>
    <n v="956"/>
    <n v="1912"/>
  </r>
  <r>
    <s v="ORD00291"/>
    <d v="2023-05-10T00:00:00"/>
    <x v="121"/>
    <x v="0"/>
    <x v="1"/>
    <n v="3"/>
    <n v="722"/>
    <n v="2166"/>
  </r>
  <r>
    <s v="ORD00292"/>
    <d v="2024-06-14T00:00:00"/>
    <x v="33"/>
    <x v="0"/>
    <x v="1"/>
    <n v="4"/>
    <n v="491"/>
    <n v="1964"/>
  </r>
  <r>
    <s v="ORD00293"/>
    <d v="2023-07-11T00:00:00"/>
    <x v="106"/>
    <x v="1"/>
    <x v="0"/>
    <n v="5"/>
    <n v="762"/>
    <n v="3810"/>
  </r>
  <r>
    <s v="ORD00294"/>
    <d v="2024-03-01T00:00:00"/>
    <x v="76"/>
    <x v="2"/>
    <x v="2"/>
    <n v="3"/>
    <n v="873"/>
    <n v="2619"/>
  </r>
  <r>
    <s v="ORD00295"/>
    <d v="2023-05-28T00:00:00"/>
    <x v="29"/>
    <x v="1"/>
    <x v="1"/>
    <n v="4"/>
    <n v="1125"/>
    <n v="4500"/>
  </r>
  <r>
    <s v="ORD00296"/>
    <d v="2023-08-27T00:00:00"/>
    <x v="130"/>
    <x v="3"/>
    <x v="0"/>
    <n v="1"/>
    <n v="765"/>
    <n v="765"/>
  </r>
  <r>
    <s v="ORD00297"/>
    <d v="2023-04-30T00:00:00"/>
    <x v="113"/>
    <x v="3"/>
    <x v="2"/>
    <n v="1"/>
    <n v="1167"/>
    <n v="1167"/>
  </r>
  <r>
    <s v="ORD00298"/>
    <d v="2023-12-15T00:00:00"/>
    <x v="147"/>
    <x v="0"/>
    <x v="0"/>
    <n v="5"/>
    <n v="615"/>
    <n v="3075"/>
  </r>
  <r>
    <s v="ORD00299"/>
    <d v="2024-11-19T00:00:00"/>
    <x v="111"/>
    <x v="2"/>
    <x v="3"/>
    <n v="5"/>
    <n v="309"/>
    <n v="1545"/>
  </r>
  <r>
    <s v="ORD00300"/>
    <d v="2024-05-09T00:00:00"/>
    <x v="18"/>
    <x v="2"/>
    <x v="2"/>
    <n v="5"/>
    <n v="262"/>
    <n v="1310"/>
  </r>
  <r>
    <s v="ORD00301"/>
    <d v="2024-06-21T00:00:00"/>
    <x v="25"/>
    <x v="1"/>
    <x v="2"/>
    <n v="3"/>
    <n v="1164"/>
    <n v="3492"/>
  </r>
  <r>
    <s v="ORD00302"/>
    <d v="2023-10-01T00:00:00"/>
    <x v="74"/>
    <x v="1"/>
    <x v="0"/>
    <n v="3"/>
    <n v="362"/>
    <n v="1086"/>
  </r>
  <r>
    <s v="ORD00303"/>
    <d v="2023-12-24T00:00:00"/>
    <x v="190"/>
    <x v="3"/>
    <x v="2"/>
    <n v="4"/>
    <n v="302"/>
    <n v="1208"/>
  </r>
  <r>
    <s v="ORD00304"/>
    <d v="2023-05-31T00:00:00"/>
    <x v="126"/>
    <x v="1"/>
    <x v="4"/>
    <n v="2"/>
    <n v="985"/>
    <n v="1970"/>
  </r>
  <r>
    <s v="ORD00305"/>
    <d v="2024-07-05T00:00:00"/>
    <x v="153"/>
    <x v="1"/>
    <x v="0"/>
    <n v="5"/>
    <n v="140"/>
    <n v="700"/>
  </r>
  <r>
    <s v="ORD00306"/>
    <d v="2024-04-23T00:00:00"/>
    <x v="179"/>
    <x v="0"/>
    <x v="0"/>
    <n v="3"/>
    <n v="432"/>
    <n v="1296"/>
  </r>
  <r>
    <s v="ORD00307"/>
    <d v="2024-08-23T00:00:00"/>
    <x v="30"/>
    <x v="2"/>
    <x v="3"/>
    <n v="5"/>
    <n v="540"/>
    <n v="2700"/>
  </r>
  <r>
    <s v="ORD00308"/>
    <d v="2024-03-18T00:00:00"/>
    <x v="128"/>
    <x v="0"/>
    <x v="4"/>
    <n v="4"/>
    <n v="165"/>
    <n v="660"/>
  </r>
  <r>
    <s v="ORD00309"/>
    <d v="2024-08-20T00:00:00"/>
    <x v="127"/>
    <x v="1"/>
    <x v="1"/>
    <n v="1"/>
    <n v="526"/>
    <n v="526"/>
  </r>
  <r>
    <s v="ORD00310"/>
    <d v="2023-10-19T00:00:00"/>
    <x v="157"/>
    <x v="0"/>
    <x v="4"/>
    <n v="5"/>
    <n v="659"/>
    <n v="3295"/>
  </r>
  <r>
    <s v="ORD00311"/>
    <d v="2023-02-15T00:00:00"/>
    <x v="54"/>
    <x v="1"/>
    <x v="4"/>
    <n v="5"/>
    <n v="1088"/>
    <n v="5440"/>
  </r>
  <r>
    <s v="ORD00312"/>
    <d v="2023-10-07T00:00:00"/>
    <x v="198"/>
    <x v="2"/>
    <x v="1"/>
    <n v="3"/>
    <n v="1167"/>
    <n v="3501"/>
  </r>
  <r>
    <s v="ORD00313"/>
    <d v="2024-06-27T00:00:00"/>
    <x v="199"/>
    <x v="3"/>
    <x v="1"/>
    <n v="2"/>
    <n v="727"/>
    <n v="1454"/>
  </r>
  <r>
    <s v="ORD00314"/>
    <d v="2023-12-10T00:00:00"/>
    <x v="200"/>
    <x v="2"/>
    <x v="4"/>
    <n v="3"/>
    <n v="406"/>
    <n v="1218"/>
  </r>
  <r>
    <s v="ORD00315"/>
    <d v="2023-06-20T00:00:00"/>
    <x v="31"/>
    <x v="3"/>
    <x v="4"/>
    <n v="2"/>
    <n v="1122"/>
    <n v="2244"/>
  </r>
  <r>
    <s v="ORD00316"/>
    <d v="2024-04-13T00:00:00"/>
    <x v="116"/>
    <x v="1"/>
    <x v="2"/>
    <n v="3"/>
    <n v="126"/>
    <n v="378"/>
  </r>
  <r>
    <s v="ORD00317"/>
    <d v="2023-05-16T00:00:00"/>
    <x v="125"/>
    <x v="3"/>
    <x v="1"/>
    <n v="1"/>
    <n v="256"/>
    <n v="256"/>
  </r>
  <r>
    <s v="ORD00318"/>
    <d v="2024-10-26T00:00:00"/>
    <x v="124"/>
    <x v="3"/>
    <x v="1"/>
    <n v="2"/>
    <n v="253"/>
    <n v="506"/>
  </r>
  <r>
    <s v="ORD00319"/>
    <d v="2023-07-25T00:00:00"/>
    <x v="119"/>
    <x v="1"/>
    <x v="2"/>
    <n v="2"/>
    <n v="245"/>
    <n v="490"/>
  </r>
  <r>
    <s v="ORD00320"/>
    <d v="2023-03-27T00:00:00"/>
    <x v="201"/>
    <x v="0"/>
    <x v="1"/>
    <n v="2"/>
    <n v="321"/>
    <n v="642"/>
  </r>
  <r>
    <s v="ORD00321"/>
    <d v="2023-10-25T00:00:00"/>
    <x v="74"/>
    <x v="3"/>
    <x v="1"/>
    <n v="3"/>
    <n v="498"/>
    <n v="1494"/>
  </r>
  <r>
    <s v="ORD00322"/>
    <d v="2024-05-06T00:00:00"/>
    <x v="202"/>
    <x v="3"/>
    <x v="0"/>
    <n v="4"/>
    <n v="879"/>
    <n v="3516"/>
  </r>
  <r>
    <s v="ORD00323"/>
    <d v="2023-12-04T00:00:00"/>
    <x v="11"/>
    <x v="2"/>
    <x v="4"/>
    <n v="4"/>
    <n v="870"/>
    <n v="3480"/>
  </r>
  <r>
    <s v="ORD00324"/>
    <d v="2024-02-15T00:00:00"/>
    <x v="203"/>
    <x v="0"/>
    <x v="0"/>
    <n v="2"/>
    <n v="844"/>
    <n v="1688"/>
  </r>
  <r>
    <s v="ORD00325"/>
    <d v="2023-01-09T00:00:00"/>
    <x v="132"/>
    <x v="0"/>
    <x v="3"/>
    <n v="2"/>
    <n v="214"/>
    <n v="428"/>
  </r>
  <r>
    <s v="ORD00326"/>
    <d v="2023-12-17T00:00:00"/>
    <x v="204"/>
    <x v="1"/>
    <x v="2"/>
    <n v="4"/>
    <n v="768"/>
    <n v="3072"/>
  </r>
  <r>
    <s v="ORD00327"/>
    <d v="2024-04-27T00:00:00"/>
    <x v="73"/>
    <x v="0"/>
    <x v="0"/>
    <n v="5"/>
    <n v="1185"/>
    <n v="5925"/>
  </r>
  <r>
    <s v="ORD00328"/>
    <d v="2024-10-29T00:00:00"/>
    <x v="102"/>
    <x v="0"/>
    <x v="2"/>
    <n v="5"/>
    <n v="391"/>
    <n v="1955"/>
  </r>
  <r>
    <s v="ORD00329"/>
    <d v="2024-09-08T00:00:00"/>
    <x v="205"/>
    <x v="1"/>
    <x v="0"/>
    <n v="4"/>
    <n v="277"/>
    <n v="1108"/>
  </r>
  <r>
    <s v="ORD00330"/>
    <d v="2023-02-07T00:00:00"/>
    <x v="206"/>
    <x v="2"/>
    <x v="1"/>
    <n v="1"/>
    <n v="260"/>
    <n v="260"/>
  </r>
  <r>
    <s v="ORD00331"/>
    <d v="2023-08-07T00:00:00"/>
    <x v="106"/>
    <x v="2"/>
    <x v="2"/>
    <n v="2"/>
    <n v="854"/>
    <n v="1708"/>
  </r>
  <r>
    <s v="ORD00332"/>
    <d v="2023-05-04T00:00:00"/>
    <x v="165"/>
    <x v="2"/>
    <x v="3"/>
    <n v="3"/>
    <n v="576"/>
    <n v="1728"/>
  </r>
  <r>
    <s v="ORD00333"/>
    <d v="2024-01-23T00:00:00"/>
    <x v="175"/>
    <x v="1"/>
    <x v="0"/>
    <n v="1"/>
    <n v="447"/>
    <n v="447"/>
  </r>
  <r>
    <s v="ORD00334"/>
    <d v="2024-08-23T00:00:00"/>
    <x v="207"/>
    <x v="0"/>
    <x v="1"/>
    <n v="4"/>
    <n v="1070"/>
    <n v="4280"/>
  </r>
  <r>
    <s v="ORD00335"/>
    <d v="2024-07-11T00:00:00"/>
    <x v="208"/>
    <x v="0"/>
    <x v="3"/>
    <n v="4"/>
    <n v="796"/>
    <n v="3184"/>
  </r>
  <r>
    <s v="ORD00336"/>
    <d v="2024-08-29T00:00:00"/>
    <x v="209"/>
    <x v="1"/>
    <x v="4"/>
    <n v="4"/>
    <n v="767"/>
    <n v="3068"/>
  </r>
  <r>
    <s v="ORD00337"/>
    <d v="2024-10-20T00:00:00"/>
    <x v="9"/>
    <x v="0"/>
    <x v="4"/>
    <n v="5"/>
    <n v="414"/>
    <n v="2070"/>
  </r>
  <r>
    <s v="ORD00338"/>
    <d v="2024-10-15T00:00:00"/>
    <x v="3"/>
    <x v="3"/>
    <x v="0"/>
    <n v="4"/>
    <n v="263"/>
    <n v="1052"/>
  </r>
  <r>
    <s v="ORD00339"/>
    <d v="2024-10-20T00:00:00"/>
    <x v="210"/>
    <x v="3"/>
    <x v="4"/>
    <n v="1"/>
    <n v="202"/>
    <n v="202"/>
  </r>
  <r>
    <s v="ORD00340"/>
    <d v="2024-10-04T00:00:00"/>
    <x v="118"/>
    <x v="0"/>
    <x v="1"/>
    <n v="3"/>
    <n v="604"/>
    <n v="1812"/>
  </r>
  <r>
    <s v="ORD00341"/>
    <d v="2024-09-01T00:00:00"/>
    <x v="67"/>
    <x v="1"/>
    <x v="1"/>
    <n v="3"/>
    <n v="246"/>
    <n v="738"/>
  </r>
  <r>
    <s v="ORD00342"/>
    <d v="2023-02-19T00:00:00"/>
    <x v="211"/>
    <x v="2"/>
    <x v="0"/>
    <n v="4"/>
    <n v="114"/>
    <n v="456"/>
  </r>
  <r>
    <s v="ORD00343"/>
    <d v="2023-04-30T00:00:00"/>
    <x v="164"/>
    <x v="3"/>
    <x v="2"/>
    <n v="5"/>
    <n v="405"/>
    <n v="2025"/>
  </r>
  <r>
    <s v="ORD00344"/>
    <d v="2023-10-13T00:00:00"/>
    <x v="92"/>
    <x v="2"/>
    <x v="1"/>
    <n v="2"/>
    <n v="829"/>
    <n v="1658"/>
  </r>
  <r>
    <s v="ORD00345"/>
    <d v="2024-08-06T00:00:00"/>
    <x v="212"/>
    <x v="2"/>
    <x v="1"/>
    <n v="2"/>
    <n v="547"/>
    <n v="1094"/>
  </r>
  <r>
    <s v="ORD00346"/>
    <d v="2023-10-31T00:00:00"/>
    <x v="11"/>
    <x v="1"/>
    <x v="1"/>
    <n v="1"/>
    <n v="652"/>
    <n v="652"/>
  </r>
  <r>
    <s v="ORD00347"/>
    <d v="2024-09-08T00:00:00"/>
    <x v="137"/>
    <x v="0"/>
    <x v="4"/>
    <n v="2"/>
    <n v="434"/>
    <n v="868"/>
  </r>
  <r>
    <s v="ORD00348"/>
    <d v="2023-06-05T00:00:00"/>
    <x v="55"/>
    <x v="2"/>
    <x v="3"/>
    <n v="4"/>
    <n v="672"/>
    <n v="2688"/>
  </r>
  <r>
    <s v="ORD00349"/>
    <d v="2024-10-19T00:00:00"/>
    <x v="4"/>
    <x v="3"/>
    <x v="1"/>
    <n v="4"/>
    <n v="425"/>
    <n v="1700"/>
  </r>
  <r>
    <s v="ORD00350"/>
    <d v="2024-01-11T00:00:00"/>
    <x v="213"/>
    <x v="1"/>
    <x v="4"/>
    <n v="4"/>
    <n v="304"/>
    <n v="1216"/>
  </r>
  <r>
    <s v="ORD00351"/>
    <d v="2023-05-08T00:00:00"/>
    <x v="23"/>
    <x v="1"/>
    <x v="4"/>
    <n v="5"/>
    <n v="834"/>
    <n v="4170"/>
  </r>
  <r>
    <s v="ORD00352"/>
    <d v="2024-04-02T00:00:00"/>
    <x v="214"/>
    <x v="1"/>
    <x v="0"/>
    <n v="1"/>
    <n v="347"/>
    <n v="347"/>
  </r>
  <r>
    <s v="ORD00353"/>
    <d v="2023-07-31T00:00:00"/>
    <x v="206"/>
    <x v="0"/>
    <x v="3"/>
    <n v="5"/>
    <n v="346"/>
    <n v="1730"/>
  </r>
  <r>
    <s v="ORD00354"/>
    <d v="2023-05-12T00:00:00"/>
    <x v="31"/>
    <x v="2"/>
    <x v="3"/>
    <n v="3"/>
    <n v="135"/>
    <n v="405"/>
  </r>
  <r>
    <s v="ORD00355"/>
    <d v="2024-04-10T00:00:00"/>
    <x v="213"/>
    <x v="1"/>
    <x v="4"/>
    <n v="1"/>
    <n v="947"/>
    <n v="947"/>
  </r>
  <r>
    <s v="ORD00356"/>
    <d v="2024-11-27T00:00:00"/>
    <x v="160"/>
    <x v="2"/>
    <x v="3"/>
    <n v="4"/>
    <n v="507"/>
    <n v="2028"/>
  </r>
  <r>
    <s v="ORD00357"/>
    <d v="2023-04-25T00:00:00"/>
    <x v="215"/>
    <x v="3"/>
    <x v="3"/>
    <n v="5"/>
    <n v="536"/>
    <n v="2680"/>
  </r>
  <r>
    <s v="ORD00358"/>
    <d v="2024-03-18T00:00:00"/>
    <x v="151"/>
    <x v="0"/>
    <x v="3"/>
    <n v="2"/>
    <n v="1063"/>
    <n v="2126"/>
  </r>
  <r>
    <s v="ORD00359"/>
    <d v="2024-01-09T00:00:00"/>
    <x v="100"/>
    <x v="3"/>
    <x v="0"/>
    <n v="1"/>
    <n v="1017"/>
    <n v="1017"/>
  </r>
  <r>
    <s v="ORD00360"/>
    <d v="2024-04-18T00:00:00"/>
    <x v="191"/>
    <x v="3"/>
    <x v="4"/>
    <n v="3"/>
    <n v="342"/>
    <n v="1026"/>
  </r>
  <r>
    <s v="ORD00361"/>
    <d v="2024-04-18T00:00:00"/>
    <x v="216"/>
    <x v="2"/>
    <x v="2"/>
    <n v="2"/>
    <n v="1016"/>
    <n v="2032"/>
  </r>
  <r>
    <s v="ORD00362"/>
    <d v="2023-01-23T00:00:00"/>
    <x v="119"/>
    <x v="0"/>
    <x v="3"/>
    <n v="4"/>
    <n v="601"/>
    <n v="2404"/>
  </r>
  <r>
    <s v="ORD00363"/>
    <d v="2024-06-10T00:00:00"/>
    <x v="126"/>
    <x v="3"/>
    <x v="2"/>
    <n v="2"/>
    <n v="835"/>
    <n v="1670"/>
  </r>
  <r>
    <s v="ORD00364"/>
    <d v="2023-11-30T00:00:00"/>
    <x v="217"/>
    <x v="0"/>
    <x v="3"/>
    <n v="4"/>
    <n v="485"/>
    <n v="1940"/>
  </r>
  <r>
    <s v="ORD00365"/>
    <d v="2023-08-05T00:00:00"/>
    <x v="218"/>
    <x v="0"/>
    <x v="2"/>
    <n v="4"/>
    <n v="840"/>
    <n v="3360"/>
  </r>
  <r>
    <s v="ORD00366"/>
    <d v="2024-08-26T00:00:00"/>
    <x v="105"/>
    <x v="2"/>
    <x v="2"/>
    <n v="2"/>
    <n v="332"/>
    <n v="664"/>
  </r>
  <r>
    <s v="ORD00367"/>
    <d v="2024-05-11T00:00:00"/>
    <x v="219"/>
    <x v="1"/>
    <x v="1"/>
    <n v="4"/>
    <n v="660"/>
    <n v="2640"/>
  </r>
  <r>
    <s v="ORD00368"/>
    <d v="2024-04-30T00:00:00"/>
    <x v="220"/>
    <x v="0"/>
    <x v="3"/>
    <n v="3"/>
    <n v="213"/>
    <n v="639"/>
  </r>
  <r>
    <s v="ORD00369"/>
    <d v="2023-04-14T00:00:00"/>
    <x v="221"/>
    <x v="2"/>
    <x v="3"/>
    <n v="1"/>
    <n v="186"/>
    <n v="186"/>
  </r>
  <r>
    <s v="ORD00370"/>
    <d v="2024-08-18T00:00:00"/>
    <x v="197"/>
    <x v="1"/>
    <x v="4"/>
    <n v="3"/>
    <n v="734"/>
    <n v="2202"/>
  </r>
  <r>
    <s v="ORD00371"/>
    <d v="2024-05-17T00:00:00"/>
    <x v="52"/>
    <x v="2"/>
    <x v="3"/>
    <n v="5"/>
    <n v="892"/>
    <n v="4460"/>
  </r>
  <r>
    <s v="ORD00372"/>
    <d v="2024-11-12T00:00:00"/>
    <x v="138"/>
    <x v="0"/>
    <x v="1"/>
    <n v="2"/>
    <n v="704"/>
    <n v="1408"/>
  </r>
  <r>
    <s v="ORD00373"/>
    <d v="2024-06-21T00:00:00"/>
    <x v="99"/>
    <x v="2"/>
    <x v="3"/>
    <n v="2"/>
    <n v="575"/>
    <n v="1150"/>
  </r>
  <r>
    <s v="ORD00374"/>
    <d v="2023-01-03T00:00:00"/>
    <x v="89"/>
    <x v="1"/>
    <x v="4"/>
    <n v="3"/>
    <n v="571"/>
    <n v="1713"/>
  </r>
  <r>
    <s v="ORD00375"/>
    <d v="2024-08-24T00:00:00"/>
    <x v="222"/>
    <x v="1"/>
    <x v="1"/>
    <n v="2"/>
    <n v="927"/>
    <n v="1854"/>
  </r>
  <r>
    <s v="ORD00376"/>
    <d v="2023-06-13T00:00:00"/>
    <x v="12"/>
    <x v="0"/>
    <x v="3"/>
    <n v="2"/>
    <n v="598"/>
    <n v="1196"/>
  </r>
  <r>
    <s v="ORD00377"/>
    <d v="2023-10-06T00:00:00"/>
    <x v="64"/>
    <x v="2"/>
    <x v="3"/>
    <n v="3"/>
    <n v="372"/>
    <n v="1116"/>
  </r>
  <r>
    <s v="ORD00378"/>
    <d v="2024-03-27T00:00:00"/>
    <x v="223"/>
    <x v="3"/>
    <x v="1"/>
    <n v="3"/>
    <n v="130"/>
    <n v="390"/>
  </r>
  <r>
    <s v="ORD00379"/>
    <d v="2024-02-14T00:00:00"/>
    <x v="132"/>
    <x v="3"/>
    <x v="4"/>
    <n v="1"/>
    <n v="796"/>
    <n v="796"/>
  </r>
  <r>
    <s v="ORD00380"/>
    <d v="2024-05-10T00:00:00"/>
    <x v="56"/>
    <x v="3"/>
    <x v="2"/>
    <n v="5"/>
    <n v="561"/>
    <n v="2805"/>
  </r>
  <r>
    <s v="ORD00381"/>
    <d v="2023-05-08T00:00:00"/>
    <x v="131"/>
    <x v="2"/>
    <x v="0"/>
    <n v="5"/>
    <n v="192"/>
    <n v="960"/>
  </r>
  <r>
    <s v="ORD00382"/>
    <d v="2023-09-02T00:00:00"/>
    <x v="69"/>
    <x v="0"/>
    <x v="2"/>
    <n v="2"/>
    <n v="467"/>
    <n v="934"/>
  </r>
  <r>
    <s v="ORD00383"/>
    <d v="2024-07-22T00:00:00"/>
    <x v="84"/>
    <x v="2"/>
    <x v="0"/>
    <n v="3"/>
    <n v="430"/>
    <n v="1290"/>
  </r>
  <r>
    <s v="ORD00384"/>
    <d v="2024-01-02T00:00:00"/>
    <x v="106"/>
    <x v="3"/>
    <x v="0"/>
    <n v="4"/>
    <n v="533"/>
    <n v="2132"/>
  </r>
  <r>
    <s v="ORD00385"/>
    <d v="2024-08-19T00:00:00"/>
    <x v="98"/>
    <x v="2"/>
    <x v="1"/>
    <n v="5"/>
    <n v="420"/>
    <n v="2100"/>
  </r>
  <r>
    <s v="ORD00386"/>
    <d v="2024-11-23T00:00:00"/>
    <x v="161"/>
    <x v="1"/>
    <x v="0"/>
    <n v="3"/>
    <n v="1044"/>
    <n v="3132"/>
  </r>
  <r>
    <s v="ORD00387"/>
    <d v="2024-01-06T00:00:00"/>
    <x v="28"/>
    <x v="1"/>
    <x v="4"/>
    <n v="4"/>
    <n v="930"/>
    <n v="3720"/>
  </r>
  <r>
    <s v="ORD00388"/>
    <d v="2024-11-26T00:00:00"/>
    <x v="3"/>
    <x v="0"/>
    <x v="3"/>
    <n v="5"/>
    <n v="441"/>
    <n v="2205"/>
  </r>
  <r>
    <s v="ORD00389"/>
    <d v="2023-04-21T00:00:00"/>
    <x v="132"/>
    <x v="0"/>
    <x v="3"/>
    <n v="4"/>
    <n v="790"/>
    <n v="3160"/>
  </r>
  <r>
    <s v="ORD00390"/>
    <d v="2023-07-10T00:00:00"/>
    <x v="192"/>
    <x v="2"/>
    <x v="0"/>
    <n v="5"/>
    <n v="341"/>
    <n v="1705"/>
  </r>
  <r>
    <s v="ORD00391"/>
    <d v="2023-01-01T00:00:00"/>
    <x v="1"/>
    <x v="2"/>
    <x v="2"/>
    <n v="1"/>
    <n v="1052"/>
    <n v="1052"/>
  </r>
  <r>
    <s v="ORD00392"/>
    <d v="2023-06-13T00:00:00"/>
    <x v="224"/>
    <x v="1"/>
    <x v="0"/>
    <n v="3"/>
    <n v="775"/>
    <n v="2325"/>
  </r>
  <r>
    <s v="ORD00393"/>
    <d v="2023-08-28T00:00:00"/>
    <x v="161"/>
    <x v="0"/>
    <x v="0"/>
    <n v="5"/>
    <n v="576"/>
    <n v="2880"/>
  </r>
  <r>
    <s v="ORD00394"/>
    <d v="2024-05-02T00:00:00"/>
    <x v="54"/>
    <x v="0"/>
    <x v="3"/>
    <n v="4"/>
    <n v="178"/>
    <n v="712"/>
  </r>
  <r>
    <s v="ORD00395"/>
    <d v="2023-03-06T00:00:00"/>
    <x v="12"/>
    <x v="3"/>
    <x v="0"/>
    <n v="3"/>
    <n v="1176"/>
    <n v="3528"/>
  </r>
  <r>
    <s v="ORD00396"/>
    <d v="2024-08-14T00:00:00"/>
    <x v="103"/>
    <x v="1"/>
    <x v="0"/>
    <n v="1"/>
    <n v="738"/>
    <n v="738"/>
  </r>
  <r>
    <s v="ORD00397"/>
    <d v="2023-07-29T00:00:00"/>
    <x v="14"/>
    <x v="0"/>
    <x v="3"/>
    <n v="3"/>
    <n v="542"/>
    <n v="1626"/>
  </r>
  <r>
    <s v="ORD00398"/>
    <d v="2024-11-20T00:00:00"/>
    <x v="16"/>
    <x v="2"/>
    <x v="3"/>
    <n v="4"/>
    <n v="855"/>
    <n v="3420"/>
  </r>
  <r>
    <s v="ORD00399"/>
    <d v="2024-03-06T00:00:00"/>
    <x v="81"/>
    <x v="0"/>
    <x v="1"/>
    <n v="4"/>
    <n v="380"/>
    <n v="1520"/>
  </r>
  <r>
    <s v="ORD00400"/>
    <d v="2024-07-26T00:00:00"/>
    <x v="225"/>
    <x v="0"/>
    <x v="2"/>
    <n v="2"/>
    <n v="707"/>
    <n v="1414"/>
  </r>
  <r>
    <s v="ORD00401"/>
    <d v="2023-07-07T00:00:00"/>
    <x v="226"/>
    <x v="2"/>
    <x v="0"/>
    <n v="5"/>
    <n v="460"/>
    <n v="2300"/>
  </r>
  <r>
    <s v="ORD00402"/>
    <d v="2023-09-14T00:00:00"/>
    <x v="225"/>
    <x v="3"/>
    <x v="2"/>
    <n v="2"/>
    <n v="1142"/>
    <n v="2284"/>
  </r>
  <r>
    <s v="ORD00403"/>
    <d v="2023-11-26T00:00:00"/>
    <x v="227"/>
    <x v="1"/>
    <x v="0"/>
    <n v="1"/>
    <n v="939"/>
    <n v="939"/>
  </r>
  <r>
    <s v="ORD00404"/>
    <d v="2024-03-20T00:00:00"/>
    <x v="144"/>
    <x v="1"/>
    <x v="1"/>
    <n v="4"/>
    <n v="541"/>
    <n v="2164"/>
  </r>
  <r>
    <s v="ORD00405"/>
    <d v="2024-10-17T00:00:00"/>
    <x v="8"/>
    <x v="0"/>
    <x v="3"/>
    <n v="2"/>
    <n v="207"/>
    <n v="414"/>
  </r>
  <r>
    <s v="ORD00406"/>
    <d v="2023-09-06T00:00:00"/>
    <x v="151"/>
    <x v="2"/>
    <x v="4"/>
    <n v="4"/>
    <n v="1106"/>
    <n v="4424"/>
  </r>
  <r>
    <s v="ORD00407"/>
    <d v="2024-03-03T00:00:00"/>
    <x v="228"/>
    <x v="3"/>
    <x v="3"/>
    <n v="1"/>
    <n v="124"/>
    <n v="124"/>
  </r>
  <r>
    <s v="ORD00408"/>
    <d v="2024-08-01T00:00:00"/>
    <x v="76"/>
    <x v="3"/>
    <x v="2"/>
    <n v="2"/>
    <n v="494"/>
    <n v="988"/>
  </r>
  <r>
    <s v="ORD00409"/>
    <d v="2023-01-24T00:00:00"/>
    <x v="5"/>
    <x v="3"/>
    <x v="4"/>
    <n v="3"/>
    <n v="986"/>
    <n v="2958"/>
  </r>
  <r>
    <s v="ORD00410"/>
    <d v="2024-01-03T00:00:00"/>
    <x v="168"/>
    <x v="2"/>
    <x v="2"/>
    <n v="4"/>
    <n v="584"/>
    <n v="2336"/>
  </r>
  <r>
    <s v="ORD00411"/>
    <d v="2024-09-26T00:00:00"/>
    <x v="229"/>
    <x v="2"/>
    <x v="2"/>
    <n v="3"/>
    <n v="904"/>
    <n v="2712"/>
  </r>
  <r>
    <s v="ORD00412"/>
    <d v="2024-07-10T00:00:00"/>
    <x v="89"/>
    <x v="3"/>
    <x v="0"/>
    <n v="3"/>
    <n v="1119"/>
    <n v="3357"/>
  </r>
  <r>
    <s v="ORD00413"/>
    <d v="2023-08-17T00:00:00"/>
    <x v="30"/>
    <x v="1"/>
    <x v="1"/>
    <n v="5"/>
    <n v="1100"/>
    <n v="5500"/>
  </r>
  <r>
    <s v="ORD00414"/>
    <d v="2024-01-23T00:00:00"/>
    <x v="153"/>
    <x v="0"/>
    <x v="4"/>
    <n v="3"/>
    <n v="916"/>
    <n v="2748"/>
  </r>
  <r>
    <s v="ORD00415"/>
    <d v="2024-05-31T00:00:00"/>
    <x v="66"/>
    <x v="2"/>
    <x v="3"/>
    <n v="5"/>
    <n v="1134"/>
    <n v="5670"/>
  </r>
  <r>
    <s v="ORD00416"/>
    <d v="2024-08-31T00:00:00"/>
    <x v="230"/>
    <x v="3"/>
    <x v="2"/>
    <n v="4"/>
    <n v="682"/>
    <n v="2728"/>
  </r>
  <r>
    <s v="ORD00417"/>
    <d v="2024-10-13T00:00:00"/>
    <x v="77"/>
    <x v="3"/>
    <x v="4"/>
    <n v="4"/>
    <n v="273"/>
    <n v="1092"/>
  </r>
  <r>
    <s v="ORD00418"/>
    <d v="2024-07-19T00:00:00"/>
    <x v="95"/>
    <x v="3"/>
    <x v="4"/>
    <n v="4"/>
    <n v="143"/>
    <n v="572"/>
  </r>
  <r>
    <s v="ORD00419"/>
    <d v="2024-01-21T00:00:00"/>
    <x v="14"/>
    <x v="1"/>
    <x v="0"/>
    <n v="5"/>
    <n v="474"/>
    <n v="2370"/>
  </r>
  <r>
    <s v="ORD00420"/>
    <d v="2023-07-16T00:00:00"/>
    <x v="191"/>
    <x v="3"/>
    <x v="4"/>
    <n v="4"/>
    <n v="989"/>
    <n v="3956"/>
  </r>
  <r>
    <s v="ORD00421"/>
    <d v="2024-11-04T00:00:00"/>
    <x v="78"/>
    <x v="3"/>
    <x v="0"/>
    <n v="3"/>
    <n v="252"/>
    <n v="756"/>
  </r>
  <r>
    <s v="ORD00422"/>
    <d v="2023-09-14T00:00:00"/>
    <x v="90"/>
    <x v="2"/>
    <x v="3"/>
    <n v="3"/>
    <n v="103"/>
    <n v="309"/>
  </r>
  <r>
    <s v="ORD00423"/>
    <d v="2023-05-20T00:00:00"/>
    <x v="231"/>
    <x v="2"/>
    <x v="3"/>
    <n v="4"/>
    <n v="897"/>
    <n v="3588"/>
  </r>
  <r>
    <s v="ORD00424"/>
    <d v="2024-03-17T00:00:00"/>
    <x v="39"/>
    <x v="3"/>
    <x v="3"/>
    <n v="4"/>
    <n v="1063"/>
    <n v="4252"/>
  </r>
  <r>
    <s v="ORD00425"/>
    <d v="2023-10-22T00:00:00"/>
    <x v="58"/>
    <x v="3"/>
    <x v="2"/>
    <n v="2"/>
    <n v="819"/>
    <n v="1638"/>
  </r>
  <r>
    <s v="ORD00426"/>
    <d v="2024-11-12T00:00:00"/>
    <x v="232"/>
    <x v="2"/>
    <x v="2"/>
    <n v="4"/>
    <n v="598"/>
    <n v="2392"/>
  </r>
  <r>
    <s v="ORD00427"/>
    <d v="2024-06-21T00:00:00"/>
    <x v="98"/>
    <x v="3"/>
    <x v="3"/>
    <n v="5"/>
    <n v="707"/>
    <n v="3535"/>
  </r>
  <r>
    <s v="ORD00428"/>
    <d v="2024-03-31T00:00:00"/>
    <x v="130"/>
    <x v="2"/>
    <x v="0"/>
    <n v="4"/>
    <n v="932"/>
    <n v="3728"/>
  </r>
  <r>
    <s v="ORD00429"/>
    <d v="2023-04-27T00:00:00"/>
    <x v="63"/>
    <x v="0"/>
    <x v="0"/>
    <n v="2"/>
    <n v="645"/>
    <n v="1290"/>
  </r>
  <r>
    <s v="ORD00430"/>
    <d v="2024-04-28T00:00:00"/>
    <x v="157"/>
    <x v="0"/>
    <x v="0"/>
    <n v="4"/>
    <n v="816"/>
    <n v="3264"/>
  </r>
  <r>
    <s v="ORD00431"/>
    <d v="2024-08-16T00:00:00"/>
    <x v="117"/>
    <x v="2"/>
    <x v="4"/>
    <n v="3"/>
    <n v="594"/>
    <n v="1782"/>
  </r>
  <r>
    <s v="ORD00432"/>
    <d v="2023-08-13T00:00:00"/>
    <x v="80"/>
    <x v="0"/>
    <x v="4"/>
    <n v="5"/>
    <n v="786"/>
    <n v="3930"/>
  </r>
  <r>
    <s v="ORD00433"/>
    <d v="2024-11-21T00:00:00"/>
    <x v="233"/>
    <x v="1"/>
    <x v="3"/>
    <n v="2"/>
    <n v="202"/>
    <n v="404"/>
  </r>
  <r>
    <s v="ORD00434"/>
    <d v="2024-09-14T00:00:00"/>
    <x v="234"/>
    <x v="2"/>
    <x v="3"/>
    <n v="4"/>
    <n v="902"/>
    <n v="3608"/>
  </r>
  <r>
    <s v="ORD00435"/>
    <d v="2024-11-22T00:00:00"/>
    <x v="108"/>
    <x v="0"/>
    <x v="4"/>
    <n v="2"/>
    <n v="343"/>
    <n v="686"/>
  </r>
  <r>
    <s v="ORD00436"/>
    <d v="2023-11-20T00:00:00"/>
    <x v="15"/>
    <x v="2"/>
    <x v="1"/>
    <n v="1"/>
    <n v="1119"/>
    <n v="1119"/>
  </r>
  <r>
    <s v="ORD00437"/>
    <d v="2023-11-18T00:00:00"/>
    <x v="37"/>
    <x v="3"/>
    <x v="0"/>
    <n v="4"/>
    <n v="669"/>
    <n v="2676"/>
  </r>
  <r>
    <s v="ORD00438"/>
    <d v="2023-02-20T00:00:00"/>
    <x v="235"/>
    <x v="2"/>
    <x v="2"/>
    <n v="1"/>
    <n v="976"/>
    <n v="976"/>
  </r>
  <r>
    <s v="ORD00439"/>
    <d v="2023-12-20T00:00:00"/>
    <x v="41"/>
    <x v="2"/>
    <x v="3"/>
    <n v="2"/>
    <n v="129"/>
    <n v="258"/>
  </r>
  <r>
    <s v="ORD00440"/>
    <d v="2024-01-30T00:00:00"/>
    <x v="189"/>
    <x v="0"/>
    <x v="0"/>
    <n v="5"/>
    <n v="475"/>
    <n v="2375"/>
  </r>
  <r>
    <s v="ORD00441"/>
    <d v="2024-03-01T00:00:00"/>
    <x v="83"/>
    <x v="1"/>
    <x v="2"/>
    <n v="4"/>
    <n v="442"/>
    <n v="1768"/>
  </r>
  <r>
    <s v="ORD00442"/>
    <d v="2024-03-18T00:00:00"/>
    <x v="236"/>
    <x v="2"/>
    <x v="3"/>
    <n v="2"/>
    <n v="1043"/>
    <n v="2086"/>
  </r>
  <r>
    <s v="ORD00443"/>
    <d v="2024-09-07T00:00:00"/>
    <x v="130"/>
    <x v="3"/>
    <x v="1"/>
    <n v="1"/>
    <n v="440"/>
    <n v="440"/>
  </r>
  <r>
    <s v="ORD00444"/>
    <d v="2024-06-03T00:00:00"/>
    <x v="237"/>
    <x v="1"/>
    <x v="2"/>
    <n v="4"/>
    <n v="840"/>
    <n v="3360"/>
  </r>
  <r>
    <s v="ORD00445"/>
    <d v="2024-08-30T00:00:00"/>
    <x v="225"/>
    <x v="1"/>
    <x v="3"/>
    <n v="3"/>
    <n v="658"/>
    <n v="1974"/>
  </r>
  <r>
    <s v="ORD00446"/>
    <d v="2023-07-04T00:00:00"/>
    <x v="105"/>
    <x v="1"/>
    <x v="2"/>
    <n v="1"/>
    <n v="639"/>
    <n v="639"/>
  </r>
  <r>
    <s v="ORD00447"/>
    <d v="2024-04-09T00:00:00"/>
    <x v="67"/>
    <x v="0"/>
    <x v="3"/>
    <n v="5"/>
    <n v="231"/>
    <n v="1155"/>
  </r>
  <r>
    <s v="ORD00448"/>
    <d v="2023-04-10T00:00:00"/>
    <x v="135"/>
    <x v="0"/>
    <x v="0"/>
    <n v="2"/>
    <n v="332"/>
    <n v="664"/>
  </r>
  <r>
    <s v="ORD00449"/>
    <d v="2024-02-11T00:00:00"/>
    <x v="238"/>
    <x v="2"/>
    <x v="4"/>
    <n v="3"/>
    <n v="991"/>
    <n v="2973"/>
  </r>
  <r>
    <s v="ORD00450"/>
    <d v="2023-06-04T00:00:00"/>
    <x v="239"/>
    <x v="2"/>
    <x v="3"/>
    <n v="1"/>
    <n v="1124"/>
    <n v="1124"/>
  </r>
  <r>
    <s v="ORD00451"/>
    <d v="2023-09-14T00:00:00"/>
    <x v="12"/>
    <x v="3"/>
    <x v="3"/>
    <n v="3"/>
    <n v="525"/>
    <n v="1575"/>
  </r>
  <r>
    <s v="ORD00452"/>
    <d v="2023-01-09T00:00:00"/>
    <x v="81"/>
    <x v="3"/>
    <x v="3"/>
    <n v="3"/>
    <n v="792"/>
    <n v="2376"/>
  </r>
  <r>
    <s v="ORD00453"/>
    <d v="2023-07-15T00:00:00"/>
    <x v="158"/>
    <x v="3"/>
    <x v="4"/>
    <n v="1"/>
    <n v="489"/>
    <n v="489"/>
  </r>
  <r>
    <s v="ORD00454"/>
    <d v="2023-09-27T00:00:00"/>
    <x v="104"/>
    <x v="3"/>
    <x v="4"/>
    <n v="2"/>
    <n v="376"/>
    <n v="752"/>
  </r>
  <r>
    <s v="ORD00455"/>
    <d v="2024-10-15T00:00:00"/>
    <x v="40"/>
    <x v="3"/>
    <x v="2"/>
    <n v="1"/>
    <n v="1103"/>
    <n v="1103"/>
  </r>
  <r>
    <s v="ORD00456"/>
    <d v="2023-12-01T00:00:00"/>
    <x v="0"/>
    <x v="0"/>
    <x v="2"/>
    <n v="1"/>
    <n v="249"/>
    <n v="249"/>
  </r>
  <r>
    <s v="ORD00457"/>
    <d v="2024-04-09T00:00:00"/>
    <x v="17"/>
    <x v="3"/>
    <x v="2"/>
    <n v="5"/>
    <n v="409"/>
    <n v="2045"/>
  </r>
  <r>
    <s v="ORD00458"/>
    <d v="2024-11-13T00:00:00"/>
    <x v="62"/>
    <x v="0"/>
    <x v="0"/>
    <n v="5"/>
    <n v="227"/>
    <n v="1135"/>
  </r>
  <r>
    <s v="ORD00459"/>
    <d v="2024-07-31T00:00:00"/>
    <x v="190"/>
    <x v="1"/>
    <x v="1"/>
    <n v="5"/>
    <n v="118"/>
    <n v="590"/>
  </r>
  <r>
    <s v="ORD00460"/>
    <d v="2023-08-28T00:00:00"/>
    <x v="48"/>
    <x v="0"/>
    <x v="2"/>
    <n v="5"/>
    <n v="677"/>
    <n v="3385"/>
  </r>
  <r>
    <s v="ORD00461"/>
    <d v="2023-08-14T00:00:00"/>
    <x v="166"/>
    <x v="0"/>
    <x v="2"/>
    <n v="4"/>
    <n v="311"/>
    <n v="1244"/>
  </r>
  <r>
    <s v="ORD00462"/>
    <d v="2024-11-21T00:00:00"/>
    <x v="240"/>
    <x v="1"/>
    <x v="3"/>
    <n v="3"/>
    <n v="685"/>
    <n v="2055"/>
  </r>
  <r>
    <s v="ORD00463"/>
    <d v="2023-10-07T00:00:00"/>
    <x v="101"/>
    <x v="2"/>
    <x v="4"/>
    <n v="2"/>
    <n v="147"/>
    <n v="294"/>
  </r>
  <r>
    <s v="ORD00464"/>
    <d v="2024-04-06T00:00:00"/>
    <x v="47"/>
    <x v="1"/>
    <x v="0"/>
    <n v="5"/>
    <n v="1151"/>
    <n v="5755"/>
  </r>
  <r>
    <s v="ORD00465"/>
    <d v="2023-11-29T00:00:00"/>
    <x v="185"/>
    <x v="0"/>
    <x v="2"/>
    <n v="3"/>
    <n v="412"/>
    <n v="1236"/>
  </r>
  <r>
    <s v="ORD00466"/>
    <d v="2023-04-05T00:00:00"/>
    <x v="132"/>
    <x v="0"/>
    <x v="2"/>
    <n v="3"/>
    <n v="777"/>
    <n v="2331"/>
  </r>
  <r>
    <s v="ORD00467"/>
    <d v="2023-03-15T00:00:00"/>
    <x v="110"/>
    <x v="3"/>
    <x v="1"/>
    <n v="4"/>
    <n v="443"/>
    <n v="1772"/>
  </r>
  <r>
    <s v="ORD00468"/>
    <d v="2024-03-13T00:00:00"/>
    <x v="7"/>
    <x v="0"/>
    <x v="4"/>
    <n v="5"/>
    <n v="743"/>
    <n v="3715"/>
  </r>
  <r>
    <s v="ORD00469"/>
    <d v="2023-11-04T00:00:00"/>
    <x v="78"/>
    <x v="1"/>
    <x v="0"/>
    <n v="1"/>
    <n v="844"/>
    <n v="844"/>
  </r>
  <r>
    <s v="ORD00470"/>
    <d v="2023-09-12T00:00:00"/>
    <x v="33"/>
    <x v="2"/>
    <x v="1"/>
    <n v="2"/>
    <n v="1114"/>
    <n v="2228"/>
  </r>
  <r>
    <s v="ORD00471"/>
    <d v="2023-05-20T00:00:00"/>
    <x v="36"/>
    <x v="2"/>
    <x v="2"/>
    <n v="1"/>
    <n v="505"/>
    <n v="505"/>
  </r>
  <r>
    <s v="ORD00472"/>
    <d v="2023-10-26T00:00:00"/>
    <x v="229"/>
    <x v="2"/>
    <x v="4"/>
    <n v="4"/>
    <n v="466"/>
    <n v="1864"/>
  </r>
  <r>
    <s v="ORD00473"/>
    <d v="2024-02-11T00:00:00"/>
    <x v="106"/>
    <x v="2"/>
    <x v="4"/>
    <n v="5"/>
    <n v="540"/>
    <n v="2700"/>
  </r>
  <r>
    <s v="ORD00474"/>
    <d v="2023-08-26T00:00:00"/>
    <x v="143"/>
    <x v="0"/>
    <x v="2"/>
    <n v="5"/>
    <n v="792"/>
    <n v="3960"/>
  </r>
  <r>
    <s v="ORD00475"/>
    <d v="2023-05-16T00:00:00"/>
    <x v="170"/>
    <x v="3"/>
    <x v="1"/>
    <n v="1"/>
    <n v="280"/>
    <n v="280"/>
  </r>
  <r>
    <s v="ORD00476"/>
    <d v="2024-02-09T00:00:00"/>
    <x v="63"/>
    <x v="2"/>
    <x v="2"/>
    <n v="1"/>
    <n v="100"/>
    <n v="100"/>
  </r>
  <r>
    <s v="ORD00477"/>
    <d v="2023-03-27T00:00:00"/>
    <x v="47"/>
    <x v="1"/>
    <x v="1"/>
    <n v="5"/>
    <n v="629"/>
    <n v="3145"/>
  </r>
  <r>
    <s v="ORD00478"/>
    <d v="2023-08-19T00:00:00"/>
    <x v="77"/>
    <x v="3"/>
    <x v="0"/>
    <n v="3"/>
    <n v="701"/>
    <n v="2103"/>
  </r>
  <r>
    <s v="ORD00479"/>
    <d v="2023-10-11T00:00:00"/>
    <x v="241"/>
    <x v="3"/>
    <x v="3"/>
    <n v="5"/>
    <n v="145"/>
    <n v="725"/>
  </r>
  <r>
    <s v="ORD00480"/>
    <d v="2023-09-30T00:00:00"/>
    <x v="34"/>
    <x v="2"/>
    <x v="2"/>
    <n v="5"/>
    <n v="412"/>
    <n v="2060"/>
  </r>
  <r>
    <s v="ORD00481"/>
    <d v="2023-05-10T00:00:00"/>
    <x v="17"/>
    <x v="1"/>
    <x v="0"/>
    <n v="1"/>
    <n v="531"/>
    <n v="531"/>
  </r>
  <r>
    <s v="ORD00482"/>
    <d v="2023-02-14T00:00:00"/>
    <x v="204"/>
    <x v="3"/>
    <x v="0"/>
    <n v="5"/>
    <n v="603"/>
    <n v="3015"/>
  </r>
  <r>
    <s v="ORD00483"/>
    <d v="2024-09-07T00:00:00"/>
    <x v="72"/>
    <x v="2"/>
    <x v="0"/>
    <n v="4"/>
    <n v="1149"/>
    <n v="4596"/>
  </r>
  <r>
    <s v="ORD00484"/>
    <d v="2023-09-27T00:00:00"/>
    <x v="130"/>
    <x v="1"/>
    <x v="2"/>
    <n v="5"/>
    <n v="1183"/>
    <n v="5915"/>
  </r>
  <r>
    <s v="ORD00485"/>
    <d v="2023-12-13T00:00:00"/>
    <x v="242"/>
    <x v="2"/>
    <x v="4"/>
    <n v="4"/>
    <n v="698"/>
    <n v="2792"/>
  </r>
  <r>
    <s v="ORD00486"/>
    <d v="2024-11-20T00:00:00"/>
    <x v="153"/>
    <x v="0"/>
    <x v="1"/>
    <n v="4"/>
    <n v="168"/>
    <n v="672"/>
  </r>
  <r>
    <s v="ORD00487"/>
    <d v="2024-04-22T00:00:00"/>
    <x v="34"/>
    <x v="3"/>
    <x v="3"/>
    <n v="5"/>
    <n v="443"/>
    <n v="2215"/>
  </r>
  <r>
    <s v="ORD00488"/>
    <d v="2024-06-08T00:00:00"/>
    <x v="48"/>
    <x v="2"/>
    <x v="4"/>
    <n v="5"/>
    <n v="1153"/>
    <n v="5765"/>
  </r>
  <r>
    <s v="ORD00489"/>
    <d v="2024-08-04T00:00:00"/>
    <x v="172"/>
    <x v="2"/>
    <x v="2"/>
    <n v="1"/>
    <n v="1019"/>
    <n v="1019"/>
  </r>
  <r>
    <s v="ORD00490"/>
    <d v="2023-05-16T00:00:00"/>
    <x v="121"/>
    <x v="1"/>
    <x v="1"/>
    <n v="1"/>
    <n v="679"/>
    <n v="679"/>
  </r>
  <r>
    <s v="ORD00491"/>
    <d v="2024-06-20T00:00:00"/>
    <x v="110"/>
    <x v="0"/>
    <x v="3"/>
    <n v="3"/>
    <n v="235"/>
    <n v="705"/>
  </r>
  <r>
    <s v="ORD00492"/>
    <d v="2024-04-28T00:00:00"/>
    <x v="130"/>
    <x v="1"/>
    <x v="0"/>
    <n v="3"/>
    <n v="1116"/>
    <n v="3348"/>
  </r>
  <r>
    <s v="ORD00493"/>
    <d v="2024-10-26T00:00:00"/>
    <x v="243"/>
    <x v="2"/>
    <x v="3"/>
    <n v="5"/>
    <n v="1060"/>
    <n v="5300"/>
  </r>
  <r>
    <s v="ORD00494"/>
    <d v="2023-11-04T00:00:00"/>
    <x v="47"/>
    <x v="3"/>
    <x v="1"/>
    <n v="3"/>
    <n v="718"/>
    <n v="2154"/>
  </r>
  <r>
    <s v="ORD00495"/>
    <d v="2023-09-01T00:00:00"/>
    <x v="158"/>
    <x v="0"/>
    <x v="1"/>
    <n v="3"/>
    <n v="713"/>
    <n v="2139"/>
  </r>
  <r>
    <s v="ORD00496"/>
    <d v="2024-03-17T00:00:00"/>
    <x v="50"/>
    <x v="2"/>
    <x v="2"/>
    <n v="4"/>
    <n v="1049"/>
    <n v="4196"/>
  </r>
  <r>
    <s v="ORD00497"/>
    <d v="2024-09-17T00:00:00"/>
    <x v="148"/>
    <x v="0"/>
    <x v="0"/>
    <n v="1"/>
    <n v="1112"/>
    <n v="1112"/>
  </r>
  <r>
    <s v="ORD00498"/>
    <d v="2024-07-01T00:00:00"/>
    <x v="38"/>
    <x v="1"/>
    <x v="3"/>
    <n v="1"/>
    <n v="1194"/>
    <n v="1194"/>
  </r>
  <r>
    <s v="ORD00499"/>
    <d v="2024-01-17T00:00:00"/>
    <x v="138"/>
    <x v="0"/>
    <x v="2"/>
    <n v="5"/>
    <n v="857"/>
    <n v="4285"/>
  </r>
  <r>
    <s v="ORD00500"/>
    <d v="2024-11-29T00:00:00"/>
    <x v="244"/>
    <x v="3"/>
    <x v="2"/>
    <n v="1"/>
    <n v="443"/>
    <n v="443"/>
  </r>
  <r>
    <s v="ORD00501"/>
    <d v="2024-10-08T00:00:00"/>
    <x v="220"/>
    <x v="1"/>
    <x v="0"/>
    <n v="1"/>
    <n v="179"/>
    <n v="179"/>
  </r>
  <r>
    <s v="ORD00502"/>
    <d v="2023-01-23T00:00:00"/>
    <x v="245"/>
    <x v="3"/>
    <x v="0"/>
    <n v="4"/>
    <n v="1092"/>
    <n v="4368"/>
  </r>
  <r>
    <s v="ORD00503"/>
    <d v="2023-06-01T00:00:00"/>
    <x v="246"/>
    <x v="2"/>
    <x v="2"/>
    <n v="5"/>
    <n v="988"/>
    <n v="4940"/>
  </r>
  <r>
    <s v="ORD00504"/>
    <d v="2023-11-09T00:00:00"/>
    <x v="111"/>
    <x v="2"/>
    <x v="0"/>
    <n v="4"/>
    <n v="340"/>
    <n v="1360"/>
  </r>
  <r>
    <s v="ORD00505"/>
    <d v="2023-05-09T00:00:00"/>
    <x v="247"/>
    <x v="0"/>
    <x v="1"/>
    <n v="1"/>
    <n v="209"/>
    <n v="209"/>
  </r>
  <r>
    <s v="ORD00506"/>
    <d v="2024-08-28T00:00:00"/>
    <x v="141"/>
    <x v="2"/>
    <x v="0"/>
    <n v="5"/>
    <n v="302"/>
    <n v="1510"/>
  </r>
  <r>
    <s v="ORD00507"/>
    <d v="2023-11-22T00:00:00"/>
    <x v="107"/>
    <x v="2"/>
    <x v="1"/>
    <n v="3"/>
    <n v="604"/>
    <n v="1812"/>
  </r>
  <r>
    <s v="ORD00508"/>
    <d v="2023-06-02T00:00:00"/>
    <x v="1"/>
    <x v="1"/>
    <x v="1"/>
    <n v="2"/>
    <n v="956"/>
    <n v="1912"/>
  </r>
  <r>
    <s v="ORD00509"/>
    <d v="2023-12-04T00:00:00"/>
    <x v="110"/>
    <x v="0"/>
    <x v="2"/>
    <n v="3"/>
    <n v="497"/>
    <n v="1491"/>
  </r>
  <r>
    <s v="ORD00510"/>
    <d v="2024-10-10T00:00:00"/>
    <x v="188"/>
    <x v="3"/>
    <x v="2"/>
    <n v="5"/>
    <n v="829"/>
    <n v="4145"/>
  </r>
  <r>
    <s v="ORD00511"/>
    <d v="2023-12-18T00:00:00"/>
    <x v="90"/>
    <x v="1"/>
    <x v="0"/>
    <n v="5"/>
    <n v="868"/>
    <n v="4340"/>
  </r>
  <r>
    <s v="ORD00512"/>
    <d v="2023-11-26T00:00:00"/>
    <x v="124"/>
    <x v="0"/>
    <x v="3"/>
    <n v="5"/>
    <n v="520"/>
    <n v="2600"/>
  </r>
  <r>
    <s v="ORD00513"/>
    <d v="2024-06-23T00:00:00"/>
    <x v="186"/>
    <x v="1"/>
    <x v="4"/>
    <n v="2"/>
    <n v="404"/>
    <n v="808"/>
  </r>
  <r>
    <s v="ORD00514"/>
    <d v="2023-05-04T00:00:00"/>
    <x v="39"/>
    <x v="2"/>
    <x v="1"/>
    <n v="3"/>
    <n v="188"/>
    <n v="564"/>
  </r>
  <r>
    <s v="ORD00515"/>
    <d v="2023-04-03T00:00:00"/>
    <x v="13"/>
    <x v="1"/>
    <x v="0"/>
    <n v="4"/>
    <n v="595"/>
    <n v="2380"/>
  </r>
  <r>
    <s v="ORD00516"/>
    <d v="2023-09-26T00:00:00"/>
    <x v="148"/>
    <x v="3"/>
    <x v="0"/>
    <n v="1"/>
    <n v="403"/>
    <n v="403"/>
  </r>
  <r>
    <s v="ORD00517"/>
    <d v="2024-07-19T00:00:00"/>
    <x v="157"/>
    <x v="2"/>
    <x v="4"/>
    <n v="1"/>
    <n v="486"/>
    <n v="486"/>
  </r>
  <r>
    <s v="ORD00518"/>
    <d v="2024-07-04T00:00:00"/>
    <x v="95"/>
    <x v="2"/>
    <x v="1"/>
    <n v="5"/>
    <n v="464"/>
    <n v="2320"/>
  </r>
  <r>
    <s v="ORD00519"/>
    <d v="2023-05-24T00:00:00"/>
    <x v="133"/>
    <x v="2"/>
    <x v="2"/>
    <n v="4"/>
    <n v="1047"/>
    <n v="4188"/>
  </r>
  <r>
    <s v="ORD00520"/>
    <d v="2023-10-11T00:00:00"/>
    <x v="248"/>
    <x v="2"/>
    <x v="3"/>
    <n v="2"/>
    <n v="600"/>
    <n v="1200"/>
  </r>
  <r>
    <s v="ORD00521"/>
    <d v="2024-09-18T00:00:00"/>
    <x v="54"/>
    <x v="1"/>
    <x v="2"/>
    <n v="4"/>
    <n v="289"/>
    <n v="1156"/>
  </r>
  <r>
    <s v="ORD00522"/>
    <d v="2023-01-24T00:00:00"/>
    <x v="194"/>
    <x v="3"/>
    <x v="2"/>
    <n v="1"/>
    <n v="1016"/>
    <n v="1016"/>
  </r>
  <r>
    <s v="ORD00523"/>
    <d v="2024-03-22T00:00:00"/>
    <x v="198"/>
    <x v="3"/>
    <x v="3"/>
    <n v="5"/>
    <n v="978"/>
    <n v="4890"/>
  </r>
  <r>
    <s v="ORD00524"/>
    <d v="2023-07-17T00:00:00"/>
    <x v="74"/>
    <x v="3"/>
    <x v="3"/>
    <n v="1"/>
    <n v="790"/>
    <n v="790"/>
  </r>
  <r>
    <s v="ORD00525"/>
    <d v="2024-02-01T00:00:00"/>
    <x v="183"/>
    <x v="3"/>
    <x v="3"/>
    <n v="3"/>
    <n v="590"/>
    <n v="1770"/>
  </r>
  <r>
    <s v="ORD00526"/>
    <d v="2023-07-23T00:00:00"/>
    <x v="13"/>
    <x v="0"/>
    <x v="4"/>
    <n v="5"/>
    <n v="573"/>
    <n v="2865"/>
  </r>
  <r>
    <s v="ORD00527"/>
    <d v="2023-09-17T00:00:00"/>
    <x v="11"/>
    <x v="0"/>
    <x v="2"/>
    <n v="4"/>
    <n v="842"/>
    <n v="3368"/>
  </r>
  <r>
    <s v="ORD00528"/>
    <d v="2023-11-10T00:00:00"/>
    <x v="149"/>
    <x v="2"/>
    <x v="4"/>
    <n v="5"/>
    <n v="1002"/>
    <n v="5010"/>
  </r>
  <r>
    <s v="ORD00529"/>
    <d v="2023-11-30T00:00:00"/>
    <x v="249"/>
    <x v="2"/>
    <x v="3"/>
    <n v="1"/>
    <n v="1032"/>
    <n v="1032"/>
  </r>
  <r>
    <s v="ORD00530"/>
    <d v="2023-01-07T00:00:00"/>
    <x v="52"/>
    <x v="2"/>
    <x v="2"/>
    <n v="4"/>
    <n v="1149"/>
    <n v="4596"/>
  </r>
  <r>
    <s v="ORD00531"/>
    <d v="2023-10-30T00:00:00"/>
    <x v="220"/>
    <x v="3"/>
    <x v="1"/>
    <n v="1"/>
    <n v="194"/>
    <n v="194"/>
  </r>
  <r>
    <s v="ORD00532"/>
    <d v="2024-05-16T00:00:00"/>
    <x v="250"/>
    <x v="0"/>
    <x v="1"/>
    <n v="2"/>
    <n v="592"/>
    <n v="1184"/>
  </r>
  <r>
    <s v="ORD00533"/>
    <d v="2023-08-15T00:00:00"/>
    <x v="125"/>
    <x v="3"/>
    <x v="1"/>
    <n v="4"/>
    <n v="1098"/>
    <n v="4392"/>
  </r>
  <r>
    <s v="ORD00534"/>
    <d v="2024-04-30T00:00:00"/>
    <x v="182"/>
    <x v="2"/>
    <x v="3"/>
    <n v="4"/>
    <n v="227"/>
    <n v="908"/>
  </r>
  <r>
    <s v="ORD00535"/>
    <d v="2023-08-05T00:00:00"/>
    <x v="250"/>
    <x v="2"/>
    <x v="0"/>
    <n v="2"/>
    <n v="937"/>
    <n v="1874"/>
  </r>
  <r>
    <s v="ORD00536"/>
    <d v="2024-05-02T00:00:00"/>
    <x v="127"/>
    <x v="0"/>
    <x v="1"/>
    <n v="2"/>
    <n v="852"/>
    <n v="1704"/>
  </r>
  <r>
    <s v="ORD00537"/>
    <d v="2023-04-23T00:00:00"/>
    <x v="156"/>
    <x v="1"/>
    <x v="3"/>
    <n v="3"/>
    <n v="428"/>
    <n v="1284"/>
  </r>
  <r>
    <s v="ORD00538"/>
    <d v="2023-06-06T00:00:00"/>
    <x v="160"/>
    <x v="2"/>
    <x v="2"/>
    <n v="5"/>
    <n v="382"/>
    <n v="1910"/>
  </r>
  <r>
    <s v="ORD00539"/>
    <d v="2024-09-28T00:00:00"/>
    <x v="144"/>
    <x v="3"/>
    <x v="4"/>
    <n v="4"/>
    <n v="1031"/>
    <n v="4124"/>
  </r>
  <r>
    <s v="ORD00540"/>
    <d v="2024-10-25T00:00:00"/>
    <x v="140"/>
    <x v="2"/>
    <x v="0"/>
    <n v="1"/>
    <n v="878"/>
    <n v="878"/>
  </r>
  <r>
    <s v="ORD00541"/>
    <d v="2024-07-07T00:00:00"/>
    <x v="85"/>
    <x v="3"/>
    <x v="4"/>
    <n v="1"/>
    <n v="567"/>
    <n v="567"/>
  </r>
  <r>
    <s v="ORD00542"/>
    <d v="2024-06-14T00:00:00"/>
    <x v="247"/>
    <x v="3"/>
    <x v="2"/>
    <n v="1"/>
    <n v="1043"/>
    <n v="1043"/>
  </r>
  <r>
    <s v="ORD00543"/>
    <d v="2023-03-13T00:00:00"/>
    <x v="59"/>
    <x v="1"/>
    <x v="0"/>
    <n v="1"/>
    <n v="692"/>
    <n v="692"/>
  </r>
  <r>
    <s v="ORD00544"/>
    <d v="2023-05-01T00:00:00"/>
    <x v="142"/>
    <x v="0"/>
    <x v="2"/>
    <n v="2"/>
    <n v="203"/>
    <n v="406"/>
  </r>
  <r>
    <s v="ORD00545"/>
    <d v="2023-03-23T00:00:00"/>
    <x v="180"/>
    <x v="0"/>
    <x v="0"/>
    <n v="4"/>
    <n v="505"/>
    <n v="2020"/>
  </r>
  <r>
    <s v="ORD00546"/>
    <d v="2023-05-06T00:00:00"/>
    <x v="76"/>
    <x v="0"/>
    <x v="4"/>
    <n v="2"/>
    <n v="942"/>
    <n v="1884"/>
  </r>
  <r>
    <s v="ORD00547"/>
    <d v="2024-05-13T00:00:00"/>
    <x v="95"/>
    <x v="0"/>
    <x v="4"/>
    <n v="2"/>
    <n v="1091"/>
    <n v="2182"/>
  </r>
  <r>
    <s v="ORD00548"/>
    <d v="2023-10-19T00:00:00"/>
    <x v="67"/>
    <x v="2"/>
    <x v="2"/>
    <n v="5"/>
    <n v="243"/>
    <n v="1215"/>
  </r>
  <r>
    <s v="ORD00549"/>
    <d v="2023-07-19T00:00:00"/>
    <x v="13"/>
    <x v="2"/>
    <x v="2"/>
    <n v="4"/>
    <n v="234"/>
    <n v="936"/>
  </r>
  <r>
    <s v="ORD00550"/>
    <d v="2023-01-20T00:00:00"/>
    <x v="251"/>
    <x v="3"/>
    <x v="4"/>
    <n v="5"/>
    <n v="1166"/>
    <n v="5830"/>
  </r>
  <r>
    <s v="ORD00551"/>
    <d v="2024-09-19T00:00:00"/>
    <x v="252"/>
    <x v="1"/>
    <x v="1"/>
    <n v="1"/>
    <n v="863"/>
    <n v="863"/>
  </r>
  <r>
    <s v="ORD00552"/>
    <d v="2023-04-11T00:00:00"/>
    <x v="49"/>
    <x v="0"/>
    <x v="1"/>
    <n v="3"/>
    <n v="1122"/>
    <n v="3366"/>
  </r>
  <r>
    <s v="ORD00553"/>
    <d v="2023-01-29T00:00:00"/>
    <x v="202"/>
    <x v="0"/>
    <x v="2"/>
    <n v="2"/>
    <n v="590"/>
    <n v="1180"/>
  </r>
  <r>
    <s v="ORD00554"/>
    <d v="2024-01-31T00:00:00"/>
    <x v="253"/>
    <x v="2"/>
    <x v="0"/>
    <n v="5"/>
    <n v="1196"/>
    <n v="5980"/>
  </r>
  <r>
    <s v="ORD00555"/>
    <d v="2023-12-09T00:00:00"/>
    <x v="211"/>
    <x v="2"/>
    <x v="1"/>
    <n v="1"/>
    <n v="804"/>
    <n v="804"/>
  </r>
  <r>
    <s v="ORD00556"/>
    <d v="2024-02-01T00:00:00"/>
    <x v="0"/>
    <x v="2"/>
    <x v="3"/>
    <n v="2"/>
    <n v="1143"/>
    <n v="2286"/>
  </r>
  <r>
    <s v="ORD00557"/>
    <d v="2024-01-11T00:00:00"/>
    <x v="228"/>
    <x v="1"/>
    <x v="0"/>
    <n v="3"/>
    <n v="533"/>
    <n v="1599"/>
  </r>
  <r>
    <s v="ORD00558"/>
    <d v="2024-04-17T00:00:00"/>
    <x v="55"/>
    <x v="2"/>
    <x v="4"/>
    <n v="1"/>
    <n v="132"/>
    <n v="132"/>
  </r>
  <r>
    <s v="ORD00559"/>
    <d v="2023-03-03T00:00:00"/>
    <x v="140"/>
    <x v="0"/>
    <x v="3"/>
    <n v="1"/>
    <n v="1169"/>
    <n v="1169"/>
  </r>
  <r>
    <s v="ORD00560"/>
    <d v="2024-03-16T00:00:00"/>
    <x v="209"/>
    <x v="2"/>
    <x v="4"/>
    <n v="3"/>
    <n v="109"/>
    <n v="327"/>
  </r>
  <r>
    <s v="ORD00561"/>
    <d v="2023-10-20T00:00:00"/>
    <x v="57"/>
    <x v="2"/>
    <x v="3"/>
    <n v="4"/>
    <n v="1195"/>
    <n v="4780"/>
  </r>
  <r>
    <s v="ORD00562"/>
    <d v="2024-03-22T00:00:00"/>
    <x v="69"/>
    <x v="1"/>
    <x v="4"/>
    <n v="5"/>
    <n v="353"/>
    <n v="1765"/>
  </r>
  <r>
    <s v="ORD00563"/>
    <d v="2024-02-22T00:00:00"/>
    <x v="165"/>
    <x v="3"/>
    <x v="4"/>
    <n v="3"/>
    <n v="789"/>
    <n v="2367"/>
  </r>
  <r>
    <s v="ORD00564"/>
    <d v="2024-10-23T00:00:00"/>
    <x v="84"/>
    <x v="2"/>
    <x v="0"/>
    <n v="5"/>
    <n v="506"/>
    <n v="2530"/>
  </r>
  <r>
    <s v="ORD00565"/>
    <d v="2023-03-29T00:00:00"/>
    <x v="254"/>
    <x v="0"/>
    <x v="1"/>
    <n v="4"/>
    <n v="1154"/>
    <n v="4616"/>
  </r>
  <r>
    <s v="ORD00566"/>
    <d v="2023-05-22T00:00:00"/>
    <x v="108"/>
    <x v="2"/>
    <x v="0"/>
    <n v="4"/>
    <n v="103"/>
    <n v="412"/>
  </r>
  <r>
    <s v="ORD00567"/>
    <d v="2023-05-25T00:00:00"/>
    <x v="255"/>
    <x v="0"/>
    <x v="3"/>
    <n v="1"/>
    <n v="1091"/>
    <n v="1091"/>
  </r>
  <r>
    <s v="ORD00568"/>
    <d v="2023-04-22T00:00:00"/>
    <x v="169"/>
    <x v="3"/>
    <x v="0"/>
    <n v="3"/>
    <n v="377"/>
    <n v="1131"/>
  </r>
  <r>
    <s v="ORD00569"/>
    <d v="2023-03-08T00:00:00"/>
    <x v="67"/>
    <x v="3"/>
    <x v="2"/>
    <n v="2"/>
    <n v="100"/>
    <n v="200"/>
  </r>
  <r>
    <s v="ORD00570"/>
    <d v="2024-06-25T00:00:00"/>
    <x v="136"/>
    <x v="1"/>
    <x v="3"/>
    <n v="2"/>
    <n v="213"/>
    <n v="426"/>
  </r>
  <r>
    <s v="ORD00571"/>
    <d v="2023-09-12T00:00:00"/>
    <x v="39"/>
    <x v="3"/>
    <x v="2"/>
    <n v="4"/>
    <n v="245"/>
    <n v="980"/>
  </r>
  <r>
    <s v="ORD00572"/>
    <d v="2023-06-28T00:00:00"/>
    <x v="65"/>
    <x v="2"/>
    <x v="0"/>
    <n v="3"/>
    <n v="1032"/>
    <n v="3096"/>
  </r>
  <r>
    <s v="ORD00573"/>
    <d v="2023-06-15T00:00:00"/>
    <x v="169"/>
    <x v="0"/>
    <x v="1"/>
    <n v="2"/>
    <n v="358"/>
    <n v="716"/>
  </r>
  <r>
    <s v="ORD00574"/>
    <d v="2024-11-19T00:00:00"/>
    <x v="206"/>
    <x v="3"/>
    <x v="2"/>
    <n v="3"/>
    <n v="166"/>
    <n v="498"/>
  </r>
  <r>
    <s v="ORD00575"/>
    <d v="2024-07-30T00:00:00"/>
    <x v="256"/>
    <x v="2"/>
    <x v="4"/>
    <n v="3"/>
    <n v="164"/>
    <n v="492"/>
  </r>
  <r>
    <s v="ORD00576"/>
    <d v="2023-12-05T00:00:00"/>
    <x v="26"/>
    <x v="0"/>
    <x v="0"/>
    <n v="5"/>
    <n v="297"/>
    <n v="1485"/>
  </r>
  <r>
    <s v="ORD00577"/>
    <d v="2023-04-01T00:00:00"/>
    <x v="133"/>
    <x v="0"/>
    <x v="2"/>
    <n v="1"/>
    <n v="895"/>
    <n v="895"/>
  </r>
  <r>
    <s v="ORD00578"/>
    <d v="2023-03-23T00:00:00"/>
    <x v="50"/>
    <x v="0"/>
    <x v="1"/>
    <n v="1"/>
    <n v="978"/>
    <n v="978"/>
  </r>
  <r>
    <s v="ORD00579"/>
    <d v="2023-08-16T00:00:00"/>
    <x v="47"/>
    <x v="2"/>
    <x v="4"/>
    <n v="1"/>
    <n v="640"/>
    <n v="640"/>
  </r>
  <r>
    <s v="ORD00580"/>
    <d v="2023-04-27T00:00:00"/>
    <x v="91"/>
    <x v="0"/>
    <x v="4"/>
    <n v="2"/>
    <n v="996"/>
    <n v="1992"/>
  </r>
  <r>
    <s v="ORD00581"/>
    <d v="2023-02-11T00:00:00"/>
    <x v="41"/>
    <x v="1"/>
    <x v="4"/>
    <n v="4"/>
    <n v="1145"/>
    <n v="4580"/>
  </r>
  <r>
    <s v="ORD00582"/>
    <d v="2024-10-18T00:00:00"/>
    <x v="47"/>
    <x v="3"/>
    <x v="4"/>
    <n v="5"/>
    <n v="654"/>
    <n v="3270"/>
  </r>
  <r>
    <s v="ORD00583"/>
    <d v="2023-04-02T00:00:00"/>
    <x v="185"/>
    <x v="0"/>
    <x v="3"/>
    <n v="3"/>
    <n v="186"/>
    <n v="558"/>
  </r>
  <r>
    <s v="ORD00584"/>
    <d v="2024-02-24T00:00:00"/>
    <x v="87"/>
    <x v="1"/>
    <x v="2"/>
    <n v="2"/>
    <n v="440"/>
    <n v="880"/>
  </r>
  <r>
    <s v="ORD00585"/>
    <d v="2023-08-25T00:00:00"/>
    <x v="78"/>
    <x v="2"/>
    <x v="4"/>
    <n v="4"/>
    <n v="1075"/>
    <n v="4300"/>
  </r>
  <r>
    <s v="ORD00586"/>
    <d v="2024-06-24T00:00:00"/>
    <x v="184"/>
    <x v="2"/>
    <x v="4"/>
    <n v="2"/>
    <n v="349"/>
    <n v="698"/>
  </r>
  <r>
    <s v="ORD00587"/>
    <d v="2023-05-07T00:00:00"/>
    <x v="235"/>
    <x v="0"/>
    <x v="1"/>
    <n v="3"/>
    <n v="197"/>
    <n v="591"/>
  </r>
  <r>
    <s v="ORD00588"/>
    <d v="2024-03-15T00:00:00"/>
    <x v="73"/>
    <x v="3"/>
    <x v="0"/>
    <n v="5"/>
    <n v="635"/>
    <n v="3175"/>
  </r>
  <r>
    <s v="ORD00589"/>
    <d v="2023-01-22T00:00:00"/>
    <x v="91"/>
    <x v="0"/>
    <x v="0"/>
    <n v="2"/>
    <n v="1084"/>
    <n v="2168"/>
  </r>
  <r>
    <s v="ORD00590"/>
    <d v="2023-10-30T00:00:00"/>
    <x v="257"/>
    <x v="0"/>
    <x v="2"/>
    <n v="5"/>
    <n v="813"/>
    <n v="4065"/>
  </r>
  <r>
    <s v="ORD00591"/>
    <d v="2023-05-02T00:00:00"/>
    <x v="154"/>
    <x v="2"/>
    <x v="0"/>
    <n v="2"/>
    <n v="846"/>
    <n v="1692"/>
  </r>
  <r>
    <s v="ORD00592"/>
    <d v="2024-06-10T00:00:00"/>
    <x v="96"/>
    <x v="1"/>
    <x v="4"/>
    <n v="3"/>
    <n v="286"/>
    <n v="858"/>
  </r>
  <r>
    <s v="ORD00593"/>
    <d v="2024-04-02T00:00:00"/>
    <x v="58"/>
    <x v="1"/>
    <x v="2"/>
    <n v="5"/>
    <n v="126"/>
    <n v="630"/>
  </r>
  <r>
    <s v="ORD00594"/>
    <d v="2024-10-20T00:00:00"/>
    <x v="86"/>
    <x v="1"/>
    <x v="1"/>
    <n v="3"/>
    <n v="642"/>
    <n v="1926"/>
  </r>
  <r>
    <s v="ORD00595"/>
    <d v="2024-04-02T00:00:00"/>
    <x v="258"/>
    <x v="0"/>
    <x v="4"/>
    <n v="4"/>
    <n v="170"/>
    <n v="680"/>
  </r>
  <r>
    <s v="ORD00596"/>
    <d v="2023-03-11T00:00:00"/>
    <x v="216"/>
    <x v="3"/>
    <x v="3"/>
    <n v="5"/>
    <n v="674"/>
    <n v="3370"/>
  </r>
  <r>
    <s v="ORD00597"/>
    <d v="2024-09-30T00:00:00"/>
    <x v="146"/>
    <x v="0"/>
    <x v="3"/>
    <n v="2"/>
    <n v="610"/>
    <n v="1220"/>
  </r>
  <r>
    <s v="ORD00598"/>
    <d v="2024-09-26T00:00:00"/>
    <x v="259"/>
    <x v="0"/>
    <x v="2"/>
    <n v="3"/>
    <n v="812"/>
    <n v="2436"/>
  </r>
  <r>
    <s v="ORD00599"/>
    <d v="2023-03-29T00:00:00"/>
    <x v="237"/>
    <x v="0"/>
    <x v="1"/>
    <n v="4"/>
    <n v="704"/>
    <n v="2816"/>
  </r>
  <r>
    <s v="ORD00600"/>
    <d v="2024-08-23T00:00:00"/>
    <x v="95"/>
    <x v="0"/>
    <x v="0"/>
    <n v="5"/>
    <n v="320"/>
    <n v="1600"/>
  </r>
  <r>
    <s v="ORD00601"/>
    <d v="2023-08-21T00:00:00"/>
    <x v="157"/>
    <x v="1"/>
    <x v="0"/>
    <n v="4"/>
    <n v="1078"/>
    <n v="4312"/>
  </r>
  <r>
    <s v="ORD00602"/>
    <d v="2023-09-25T00:00:00"/>
    <x v="165"/>
    <x v="3"/>
    <x v="3"/>
    <n v="1"/>
    <n v="1136"/>
    <n v="1136"/>
  </r>
  <r>
    <s v="ORD00603"/>
    <d v="2024-10-28T00:00:00"/>
    <x v="178"/>
    <x v="0"/>
    <x v="0"/>
    <n v="2"/>
    <n v="222"/>
    <n v="444"/>
  </r>
  <r>
    <s v="ORD00604"/>
    <d v="2023-02-21T00:00:00"/>
    <x v="260"/>
    <x v="0"/>
    <x v="4"/>
    <n v="2"/>
    <n v="1032"/>
    <n v="2064"/>
  </r>
  <r>
    <s v="ORD00605"/>
    <d v="2024-11-23T00:00:00"/>
    <x v="107"/>
    <x v="2"/>
    <x v="3"/>
    <n v="1"/>
    <n v="781"/>
    <n v="781"/>
  </r>
  <r>
    <s v="ORD00606"/>
    <d v="2023-11-25T00:00:00"/>
    <x v="138"/>
    <x v="3"/>
    <x v="1"/>
    <n v="2"/>
    <n v="921"/>
    <n v="1842"/>
  </r>
  <r>
    <s v="ORD00607"/>
    <d v="2023-12-25T00:00:00"/>
    <x v="145"/>
    <x v="3"/>
    <x v="4"/>
    <n v="1"/>
    <n v="545"/>
    <n v="545"/>
  </r>
  <r>
    <s v="ORD00608"/>
    <d v="2023-02-28T00:00:00"/>
    <x v="80"/>
    <x v="0"/>
    <x v="2"/>
    <n v="2"/>
    <n v="103"/>
    <n v="206"/>
  </r>
  <r>
    <s v="ORD00609"/>
    <d v="2024-09-10T00:00:00"/>
    <x v="210"/>
    <x v="3"/>
    <x v="4"/>
    <n v="3"/>
    <n v="1118"/>
    <n v="3354"/>
  </r>
  <r>
    <s v="ORD00610"/>
    <d v="2024-08-01T00:00:00"/>
    <x v="103"/>
    <x v="1"/>
    <x v="2"/>
    <n v="3"/>
    <n v="565"/>
    <n v="1695"/>
  </r>
  <r>
    <s v="ORD00611"/>
    <d v="2023-04-23T00:00:00"/>
    <x v="261"/>
    <x v="1"/>
    <x v="1"/>
    <n v="4"/>
    <n v="195"/>
    <n v="780"/>
  </r>
  <r>
    <s v="ORD00612"/>
    <d v="2024-02-02T00:00:00"/>
    <x v="171"/>
    <x v="2"/>
    <x v="0"/>
    <n v="1"/>
    <n v="174"/>
    <n v="174"/>
  </r>
  <r>
    <s v="ORD00613"/>
    <d v="2024-05-30T00:00:00"/>
    <x v="48"/>
    <x v="3"/>
    <x v="4"/>
    <n v="4"/>
    <n v="641"/>
    <n v="2564"/>
  </r>
  <r>
    <s v="ORD00614"/>
    <d v="2024-01-02T00:00:00"/>
    <x v="195"/>
    <x v="2"/>
    <x v="0"/>
    <n v="3"/>
    <n v="1126"/>
    <n v="3378"/>
  </r>
  <r>
    <s v="ORD00615"/>
    <d v="2024-10-29T00:00:00"/>
    <x v="220"/>
    <x v="2"/>
    <x v="2"/>
    <n v="2"/>
    <n v="550"/>
    <n v="1100"/>
  </r>
  <r>
    <s v="ORD00616"/>
    <d v="2024-05-23T00:00:00"/>
    <x v="33"/>
    <x v="3"/>
    <x v="4"/>
    <n v="3"/>
    <n v="718"/>
    <n v="2154"/>
  </r>
  <r>
    <s v="ORD00617"/>
    <d v="2024-05-11T00:00:00"/>
    <x v="153"/>
    <x v="2"/>
    <x v="4"/>
    <n v="5"/>
    <n v="312"/>
    <n v="1560"/>
  </r>
  <r>
    <s v="ORD00618"/>
    <d v="2023-06-20T00:00:00"/>
    <x v="222"/>
    <x v="1"/>
    <x v="4"/>
    <n v="3"/>
    <n v="111"/>
    <n v="333"/>
  </r>
  <r>
    <s v="ORD00619"/>
    <d v="2023-03-25T00:00:00"/>
    <x v="18"/>
    <x v="0"/>
    <x v="3"/>
    <n v="4"/>
    <n v="402"/>
    <n v="1608"/>
  </r>
  <r>
    <s v="ORD00620"/>
    <d v="2024-01-13T00:00:00"/>
    <x v="130"/>
    <x v="0"/>
    <x v="2"/>
    <n v="3"/>
    <n v="882"/>
    <n v="2646"/>
  </r>
  <r>
    <s v="ORD00621"/>
    <d v="2024-09-07T00:00:00"/>
    <x v="154"/>
    <x v="1"/>
    <x v="4"/>
    <n v="1"/>
    <n v="702"/>
    <n v="702"/>
  </r>
  <r>
    <s v="ORD00622"/>
    <d v="2024-07-15T00:00:00"/>
    <x v="110"/>
    <x v="3"/>
    <x v="4"/>
    <n v="2"/>
    <n v="429"/>
    <n v="858"/>
  </r>
  <r>
    <s v="ORD00623"/>
    <d v="2024-08-30T00:00:00"/>
    <x v="76"/>
    <x v="3"/>
    <x v="2"/>
    <n v="1"/>
    <n v="763"/>
    <n v="763"/>
  </r>
  <r>
    <s v="ORD00624"/>
    <d v="2023-04-15T00:00:00"/>
    <x v="197"/>
    <x v="1"/>
    <x v="1"/>
    <n v="5"/>
    <n v="965"/>
    <n v="4825"/>
  </r>
  <r>
    <s v="ORD00625"/>
    <d v="2024-02-10T00:00:00"/>
    <x v="118"/>
    <x v="0"/>
    <x v="3"/>
    <n v="2"/>
    <n v="976"/>
    <n v="1952"/>
  </r>
  <r>
    <s v="ORD00626"/>
    <d v="2023-04-20T00:00:00"/>
    <x v="106"/>
    <x v="3"/>
    <x v="0"/>
    <n v="2"/>
    <n v="696"/>
    <n v="1392"/>
  </r>
  <r>
    <s v="ORD00627"/>
    <d v="2023-04-29T00:00:00"/>
    <x v="232"/>
    <x v="2"/>
    <x v="1"/>
    <n v="3"/>
    <n v="1048"/>
    <n v="3144"/>
  </r>
  <r>
    <s v="ORD00628"/>
    <d v="2023-03-03T00:00:00"/>
    <x v="161"/>
    <x v="0"/>
    <x v="2"/>
    <n v="5"/>
    <n v="1161"/>
    <n v="5805"/>
  </r>
  <r>
    <s v="ORD00629"/>
    <d v="2023-05-12T00:00:00"/>
    <x v="62"/>
    <x v="0"/>
    <x v="2"/>
    <n v="5"/>
    <n v="1146"/>
    <n v="5730"/>
  </r>
  <r>
    <s v="ORD00630"/>
    <d v="2024-05-22T00:00:00"/>
    <x v="22"/>
    <x v="0"/>
    <x v="1"/>
    <n v="1"/>
    <n v="238"/>
    <n v="238"/>
  </r>
  <r>
    <s v="ORD00631"/>
    <d v="2023-06-05T00:00:00"/>
    <x v="248"/>
    <x v="1"/>
    <x v="1"/>
    <n v="5"/>
    <n v="335"/>
    <n v="1675"/>
  </r>
  <r>
    <s v="ORD00632"/>
    <d v="2023-04-24T00:00:00"/>
    <x v="208"/>
    <x v="2"/>
    <x v="2"/>
    <n v="1"/>
    <n v="301"/>
    <n v="301"/>
  </r>
  <r>
    <s v="ORD00633"/>
    <d v="2023-02-08T00:00:00"/>
    <x v="188"/>
    <x v="2"/>
    <x v="3"/>
    <n v="5"/>
    <n v="174"/>
    <n v="870"/>
  </r>
  <r>
    <s v="ORD00634"/>
    <d v="2024-06-07T00:00:00"/>
    <x v="37"/>
    <x v="2"/>
    <x v="4"/>
    <n v="1"/>
    <n v="580"/>
    <n v="580"/>
  </r>
  <r>
    <s v="ORD00635"/>
    <d v="2024-03-23T00:00:00"/>
    <x v="41"/>
    <x v="2"/>
    <x v="2"/>
    <n v="5"/>
    <n v="185"/>
    <n v="925"/>
  </r>
  <r>
    <s v="ORD00636"/>
    <d v="2024-03-15T00:00:00"/>
    <x v="117"/>
    <x v="1"/>
    <x v="0"/>
    <n v="3"/>
    <n v="500"/>
    <n v="1500"/>
  </r>
  <r>
    <s v="ORD00637"/>
    <d v="2024-11-25T00:00:00"/>
    <x v="133"/>
    <x v="0"/>
    <x v="4"/>
    <n v="4"/>
    <n v="485"/>
    <n v="1940"/>
  </r>
  <r>
    <s v="ORD00638"/>
    <d v="2023-11-19T00:00:00"/>
    <x v="107"/>
    <x v="3"/>
    <x v="1"/>
    <n v="2"/>
    <n v="166"/>
    <n v="332"/>
  </r>
  <r>
    <s v="ORD00639"/>
    <d v="2024-07-27T00:00:00"/>
    <x v="131"/>
    <x v="2"/>
    <x v="0"/>
    <n v="2"/>
    <n v="423"/>
    <n v="846"/>
  </r>
  <r>
    <s v="ORD00640"/>
    <d v="2023-03-25T00:00:00"/>
    <x v="52"/>
    <x v="2"/>
    <x v="4"/>
    <n v="4"/>
    <n v="310"/>
    <n v="1240"/>
  </r>
  <r>
    <s v="ORD00641"/>
    <d v="2024-04-02T00:00:00"/>
    <x v="93"/>
    <x v="1"/>
    <x v="2"/>
    <n v="2"/>
    <n v="664"/>
    <n v="1328"/>
  </r>
  <r>
    <s v="ORD00642"/>
    <d v="2023-12-01T00:00:00"/>
    <x v="63"/>
    <x v="0"/>
    <x v="2"/>
    <n v="2"/>
    <n v="523"/>
    <n v="1046"/>
  </r>
  <r>
    <s v="ORD00643"/>
    <d v="2024-07-25T00:00:00"/>
    <x v="204"/>
    <x v="2"/>
    <x v="4"/>
    <n v="1"/>
    <n v="605"/>
    <n v="605"/>
  </r>
  <r>
    <s v="ORD00644"/>
    <d v="2023-11-12T00:00:00"/>
    <x v="9"/>
    <x v="1"/>
    <x v="0"/>
    <n v="5"/>
    <n v="1028"/>
    <n v="5140"/>
  </r>
  <r>
    <s v="ORD00645"/>
    <d v="2023-10-10T00:00:00"/>
    <x v="200"/>
    <x v="3"/>
    <x v="1"/>
    <n v="5"/>
    <n v="748"/>
    <n v="3740"/>
  </r>
  <r>
    <s v="ORD00646"/>
    <d v="2024-11-14T00:00:00"/>
    <x v="178"/>
    <x v="1"/>
    <x v="3"/>
    <n v="5"/>
    <n v="134"/>
    <n v="670"/>
  </r>
  <r>
    <s v="ORD00647"/>
    <d v="2024-04-05T00:00:00"/>
    <x v="151"/>
    <x v="3"/>
    <x v="2"/>
    <n v="1"/>
    <n v="417"/>
    <n v="417"/>
  </r>
  <r>
    <s v="ORD00648"/>
    <d v="2023-03-09T00:00:00"/>
    <x v="262"/>
    <x v="0"/>
    <x v="1"/>
    <n v="3"/>
    <n v="303"/>
    <n v="909"/>
  </r>
  <r>
    <s v="ORD00649"/>
    <d v="2024-06-30T00:00:00"/>
    <x v="263"/>
    <x v="3"/>
    <x v="2"/>
    <n v="4"/>
    <n v="439"/>
    <n v="1756"/>
  </r>
  <r>
    <s v="ORD00650"/>
    <d v="2023-12-28T00:00:00"/>
    <x v="175"/>
    <x v="3"/>
    <x v="2"/>
    <n v="2"/>
    <n v="1166"/>
    <n v="2332"/>
  </r>
  <r>
    <s v="ORD00651"/>
    <d v="2024-06-17T00:00:00"/>
    <x v="251"/>
    <x v="1"/>
    <x v="3"/>
    <n v="2"/>
    <n v="851"/>
    <n v="1702"/>
  </r>
  <r>
    <s v="ORD00652"/>
    <d v="2023-04-17T00:00:00"/>
    <x v="17"/>
    <x v="1"/>
    <x v="2"/>
    <n v="1"/>
    <n v="461"/>
    <n v="461"/>
  </r>
  <r>
    <s v="ORD00653"/>
    <d v="2023-09-11T00:00:00"/>
    <x v="209"/>
    <x v="0"/>
    <x v="1"/>
    <n v="3"/>
    <n v="173"/>
    <n v="519"/>
  </r>
  <r>
    <s v="ORD00654"/>
    <d v="2024-05-13T00:00:00"/>
    <x v="101"/>
    <x v="2"/>
    <x v="3"/>
    <n v="3"/>
    <n v="318"/>
    <n v="954"/>
  </r>
  <r>
    <s v="ORD00655"/>
    <d v="2024-08-13T00:00:00"/>
    <x v="264"/>
    <x v="0"/>
    <x v="1"/>
    <n v="3"/>
    <n v="895"/>
    <n v="2685"/>
  </r>
  <r>
    <s v="ORD00656"/>
    <d v="2023-04-30T00:00:00"/>
    <x v="265"/>
    <x v="2"/>
    <x v="1"/>
    <n v="3"/>
    <n v="1088"/>
    <n v="3264"/>
  </r>
  <r>
    <s v="ORD00657"/>
    <d v="2023-03-12T00:00:00"/>
    <x v="79"/>
    <x v="2"/>
    <x v="3"/>
    <n v="2"/>
    <n v="401"/>
    <n v="802"/>
  </r>
  <r>
    <s v="ORD00658"/>
    <d v="2024-04-29T00:00:00"/>
    <x v="254"/>
    <x v="3"/>
    <x v="1"/>
    <n v="3"/>
    <n v="1001"/>
    <n v="3003"/>
  </r>
  <r>
    <s v="ORD00659"/>
    <d v="2024-02-26T00:00:00"/>
    <x v="115"/>
    <x v="1"/>
    <x v="2"/>
    <n v="5"/>
    <n v="1101"/>
    <n v="5505"/>
  </r>
  <r>
    <s v="ORD00660"/>
    <d v="2024-04-30T00:00:00"/>
    <x v="208"/>
    <x v="0"/>
    <x v="4"/>
    <n v="2"/>
    <n v="835"/>
    <n v="1670"/>
  </r>
  <r>
    <s v="ORD00661"/>
    <d v="2023-03-31T00:00:00"/>
    <x v="5"/>
    <x v="1"/>
    <x v="0"/>
    <n v="1"/>
    <n v="267"/>
    <n v="267"/>
  </r>
  <r>
    <s v="ORD00662"/>
    <d v="2023-07-19T00:00:00"/>
    <x v="266"/>
    <x v="3"/>
    <x v="0"/>
    <n v="2"/>
    <n v="705"/>
    <n v="1410"/>
  </r>
  <r>
    <s v="ORD00663"/>
    <d v="2024-06-17T00:00:00"/>
    <x v="79"/>
    <x v="3"/>
    <x v="2"/>
    <n v="5"/>
    <n v="1151"/>
    <n v="5755"/>
  </r>
  <r>
    <s v="ORD00664"/>
    <d v="2024-04-11T00:00:00"/>
    <x v="174"/>
    <x v="3"/>
    <x v="1"/>
    <n v="4"/>
    <n v="710"/>
    <n v="2840"/>
  </r>
  <r>
    <s v="ORD00665"/>
    <d v="2024-10-29T00:00:00"/>
    <x v="82"/>
    <x v="0"/>
    <x v="1"/>
    <n v="4"/>
    <n v="153"/>
    <n v="612"/>
  </r>
  <r>
    <s v="ORD00666"/>
    <d v="2024-10-08T00:00:00"/>
    <x v="98"/>
    <x v="3"/>
    <x v="3"/>
    <n v="1"/>
    <n v="723"/>
    <n v="723"/>
  </r>
  <r>
    <s v="ORD00667"/>
    <d v="2024-05-12T00:00:00"/>
    <x v="221"/>
    <x v="1"/>
    <x v="4"/>
    <n v="4"/>
    <n v="1138"/>
    <n v="4552"/>
  </r>
  <r>
    <s v="ORD00668"/>
    <d v="2023-05-19T00:00:00"/>
    <x v="226"/>
    <x v="3"/>
    <x v="2"/>
    <n v="2"/>
    <n v="506"/>
    <n v="1012"/>
  </r>
  <r>
    <s v="ORD00669"/>
    <d v="2023-09-14T00:00:00"/>
    <x v="186"/>
    <x v="0"/>
    <x v="0"/>
    <n v="1"/>
    <n v="131"/>
    <n v="131"/>
  </r>
  <r>
    <s v="ORD00670"/>
    <d v="2023-06-22T00:00:00"/>
    <x v="198"/>
    <x v="0"/>
    <x v="3"/>
    <n v="1"/>
    <n v="1067"/>
    <n v="1067"/>
  </r>
  <r>
    <s v="ORD00671"/>
    <d v="2023-08-14T00:00:00"/>
    <x v="152"/>
    <x v="1"/>
    <x v="3"/>
    <n v="3"/>
    <n v="249"/>
    <n v="747"/>
  </r>
  <r>
    <s v="ORD00672"/>
    <d v="2023-11-05T00:00:00"/>
    <x v="170"/>
    <x v="2"/>
    <x v="4"/>
    <n v="2"/>
    <n v="607"/>
    <n v="1214"/>
  </r>
  <r>
    <s v="ORD00673"/>
    <d v="2023-07-10T00:00:00"/>
    <x v="51"/>
    <x v="1"/>
    <x v="4"/>
    <n v="1"/>
    <n v="212"/>
    <n v="212"/>
  </r>
  <r>
    <s v="ORD00674"/>
    <d v="2024-01-19T00:00:00"/>
    <x v="55"/>
    <x v="1"/>
    <x v="0"/>
    <n v="5"/>
    <n v="148"/>
    <n v="740"/>
  </r>
  <r>
    <s v="ORD00675"/>
    <d v="2023-11-23T00:00:00"/>
    <x v="17"/>
    <x v="3"/>
    <x v="1"/>
    <n v="4"/>
    <n v="1083"/>
    <n v="4332"/>
  </r>
  <r>
    <s v="ORD00676"/>
    <d v="2023-03-10T00:00:00"/>
    <x v="16"/>
    <x v="3"/>
    <x v="3"/>
    <n v="5"/>
    <n v="833"/>
    <n v="4165"/>
  </r>
  <r>
    <s v="ORD00677"/>
    <d v="2023-10-19T00:00:00"/>
    <x v="246"/>
    <x v="0"/>
    <x v="1"/>
    <n v="4"/>
    <n v="298"/>
    <n v="1192"/>
  </r>
  <r>
    <s v="ORD00678"/>
    <d v="2024-11-08T00:00:00"/>
    <x v="29"/>
    <x v="0"/>
    <x v="2"/>
    <n v="3"/>
    <n v="588"/>
    <n v="1764"/>
  </r>
  <r>
    <s v="ORD00679"/>
    <d v="2024-08-02T00:00:00"/>
    <x v="180"/>
    <x v="0"/>
    <x v="0"/>
    <n v="4"/>
    <n v="996"/>
    <n v="3984"/>
  </r>
  <r>
    <s v="ORD00680"/>
    <d v="2024-02-20T00:00:00"/>
    <x v="135"/>
    <x v="2"/>
    <x v="4"/>
    <n v="2"/>
    <n v="952"/>
    <n v="1904"/>
  </r>
  <r>
    <s v="ORD00681"/>
    <d v="2024-05-21T00:00:00"/>
    <x v="257"/>
    <x v="0"/>
    <x v="0"/>
    <n v="1"/>
    <n v="1193"/>
    <n v="1193"/>
  </r>
  <r>
    <s v="ORD00682"/>
    <d v="2024-10-21T00:00:00"/>
    <x v="205"/>
    <x v="0"/>
    <x v="2"/>
    <n v="5"/>
    <n v="482"/>
    <n v="2410"/>
  </r>
  <r>
    <s v="ORD00683"/>
    <d v="2023-03-12T00:00:00"/>
    <x v="87"/>
    <x v="0"/>
    <x v="0"/>
    <n v="2"/>
    <n v="727"/>
    <n v="1454"/>
  </r>
  <r>
    <s v="ORD00684"/>
    <d v="2023-01-12T00:00:00"/>
    <x v="190"/>
    <x v="2"/>
    <x v="0"/>
    <n v="4"/>
    <n v="956"/>
    <n v="3824"/>
  </r>
  <r>
    <s v="ORD00685"/>
    <d v="2024-08-11T00:00:00"/>
    <x v="87"/>
    <x v="3"/>
    <x v="1"/>
    <n v="5"/>
    <n v="1025"/>
    <n v="5125"/>
  </r>
  <r>
    <s v="ORD00686"/>
    <d v="2024-03-24T00:00:00"/>
    <x v="263"/>
    <x v="0"/>
    <x v="0"/>
    <n v="3"/>
    <n v="889"/>
    <n v="2667"/>
  </r>
  <r>
    <s v="ORD00687"/>
    <d v="2023-11-17T00:00:00"/>
    <x v="67"/>
    <x v="1"/>
    <x v="2"/>
    <n v="1"/>
    <n v="973"/>
    <n v="973"/>
  </r>
  <r>
    <s v="ORD00688"/>
    <d v="2024-04-03T00:00:00"/>
    <x v="113"/>
    <x v="0"/>
    <x v="2"/>
    <n v="2"/>
    <n v="363"/>
    <n v="726"/>
  </r>
  <r>
    <s v="ORD00689"/>
    <d v="2024-02-25T00:00:00"/>
    <x v="267"/>
    <x v="3"/>
    <x v="1"/>
    <n v="3"/>
    <n v="357"/>
    <n v="1071"/>
  </r>
  <r>
    <s v="ORD00690"/>
    <d v="2023-04-16T00:00:00"/>
    <x v="160"/>
    <x v="1"/>
    <x v="2"/>
    <n v="3"/>
    <n v="827"/>
    <n v="2481"/>
  </r>
  <r>
    <s v="ORD00691"/>
    <d v="2024-01-22T00:00:00"/>
    <x v="117"/>
    <x v="0"/>
    <x v="0"/>
    <n v="5"/>
    <n v="1035"/>
    <n v="5175"/>
  </r>
  <r>
    <s v="ORD00692"/>
    <d v="2024-09-26T00:00:00"/>
    <x v="126"/>
    <x v="1"/>
    <x v="0"/>
    <n v="1"/>
    <n v="203"/>
    <n v="203"/>
  </r>
  <r>
    <s v="ORD00693"/>
    <d v="2023-12-31T00:00:00"/>
    <x v="118"/>
    <x v="0"/>
    <x v="1"/>
    <n v="4"/>
    <n v="976"/>
    <n v="3904"/>
  </r>
  <r>
    <s v="ORD00694"/>
    <d v="2024-10-01T00:00:00"/>
    <x v="268"/>
    <x v="1"/>
    <x v="4"/>
    <n v="2"/>
    <n v="362"/>
    <n v="724"/>
  </r>
  <r>
    <s v="ORD00695"/>
    <d v="2023-04-05T00:00:00"/>
    <x v="261"/>
    <x v="0"/>
    <x v="2"/>
    <n v="5"/>
    <n v="277"/>
    <n v="1385"/>
  </r>
  <r>
    <s v="ORD00696"/>
    <d v="2023-12-05T00:00:00"/>
    <x v="85"/>
    <x v="0"/>
    <x v="2"/>
    <n v="5"/>
    <n v="564"/>
    <n v="2820"/>
  </r>
  <r>
    <s v="ORD00697"/>
    <d v="2023-05-17T00:00:00"/>
    <x v="182"/>
    <x v="2"/>
    <x v="3"/>
    <n v="4"/>
    <n v="773"/>
    <n v="3092"/>
  </r>
  <r>
    <s v="ORD00698"/>
    <d v="2023-01-09T00:00:00"/>
    <x v="269"/>
    <x v="0"/>
    <x v="0"/>
    <n v="5"/>
    <n v="147"/>
    <n v="735"/>
  </r>
  <r>
    <s v="ORD00699"/>
    <d v="2023-10-28T00:00:00"/>
    <x v="255"/>
    <x v="0"/>
    <x v="1"/>
    <n v="5"/>
    <n v="1006"/>
    <n v="5030"/>
  </r>
  <r>
    <s v="ORD00700"/>
    <d v="2024-05-20T00:00:00"/>
    <x v="60"/>
    <x v="0"/>
    <x v="4"/>
    <n v="2"/>
    <n v="679"/>
    <n v="1358"/>
  </r>
  <r>
    <s v="ORD00701"/>
    <d v="2023-07-15T00:00:00"/>
    <x v="156"/>
    <x v="0"/>
    <x v="1"/>
    <n v="3"/>
    <n v="758"/>
    <n v="2274"/>
  </r>
  <r>
    <s v="ORD00702"/>
    <d v="2024-06-11T00:00:00"/>
    <x v="259"/>
    <x v="3"/>
    <x v="3"/>
    <n v="1"/>
    <n v="963"/>
    <n v="963"/>
  </r>
  <r>
    <s v="ORD00703"/>
    <d v="2024-01-13T00:00:00"/>
    <x v="8"/>
    <x v="1"/>
    <x v="4"/>
    <n v="5"/>
    <n v="315"/>
    <n v="1575"/>
  </r>
  <r>
    <s v="ORD00704"/>
    <d v="2023-01-04T00:00:00"/>
    <x v="95"/>
    <x v="2"/>
    <x v="4"/>
    <n v="4"/>
    <n v="144"/>
    <n v="576"/>
  </r>
  <r>
    <s v="ORD00705"/>
    <d v="2023-03-08T00:00:00"/>
    <x v="192"/>
    <x v="3"/>
    <x v="0"/>
    <n v="5"/>
    <n v="1044"/>
    <n v="5220"/>
  </r>
  <r>
    <s v="ORD00706"/>
    <d v="2024-09-18T00:00:00"/>
    <x v="133"/>
    <x v="1"/>
    <x v="3"/>
    <n v="1"/>
    <n v="707"/>
    <n v="707"/>
  </r>
  <r>
    <s v="ORD00707"/>
    <d v="2023-02-20T00:00:00"/>
    <x v="75"/>
    <x v="3"/>
    <x v="2"/>
    <n v="3"/>
    <n v="271"/>
    <n v="813"/>
  </r>
  <r>
    <s v="ORD00708"/>
    <d v="2023-10-15T00:00:00"/>
    <x v="25"/>
    <x v="2"/>
    <x v="2"/>
    <n v="3"/>
    <n v="319"/>
    <n v="957"/>
  </r>
  <r>
    <s v="ORD00709"/>
    <d v="2024-10-13T00:00:00"/>
    <x v="186"/>
    <x v="1"/>
    <x v="0"/>
    <n v="2"/>
    <n v="972"/>
    <n v="1944"/>
  </r>
  <r>
    <s v="ORD00710"/>
    <d v="2024-11-06T00:00:00"/>
    <x v="178"/>
    <x v="3"/>
    <x v="3"/>
    <n v="4"/>
    <n v="1053"/>
    <n v="4212"/>
  </r>
  <r>
    <s v="ORD00711"/>
    <d v="2024-02-06T00:00:00"/>
    <x v="140"/>
    <x v="1"/>
    <x v="2"/>
    <n v="2"/>
    <n v="247"/>
    <n v="494"/>
  </r>
  <r>
    <s v="ORD00712"/>
    <d v="2024-01-18T00:00:00"/>
    <x v="77"/>
    <x v="1"/>
    <x v="3"/>
    <n v="1"/>
    <n v="598"/>
    <n v="598"/>
  </r>
  <r>
    <s v="ORD00713"/>
    <d v="2023-06-01T00:00:00"/>
    <x v="270"/>
    <x v="3"/>
    <x v="0"/>
    <n v="2"/>
    <n v="151"/>
    <n v="302"/>
  </r>
  <r>
    <s v="ORD00714"/>
    <d v="2024-10-25T00:00:00"/>
    <x v="267"/>
    <x v="2"/>
    <x v="1"/>
    <n v="5"/>
    <n v="509"/>
    <n v="2545"/>
  </r>
  <r>
    <s v="ORD00715"/>
    <d v="2023-04-14T00:00:00"/>
    <x v="67"/>
    <x v="3"/>
    <x v="2"/>
    <n v="5"/>
    <n v="599"/>
    <n v="2995"/>
  </r>
  <r>
    <s v="ORD00716"/>
    <d v="2023-02-24T00:00:00"/>
    <x v="256"/>
    <x v="1"/>
    <x v="0"/>
    <n v="5"/>
    <n v="729"/>
    <n v="3645"/>
  </r>
  <r>
    <s v="ORD00717"/>
    <d v="2024-04-01T00:00:00"/>
    <x v="222"/>
    <x v="1"/>
    <x v="0"/>
    <n v="5"/>
    <n v="706"/>
    <n v="3530"/>
  </r>
  <r>
    <s v="ORD00718"/>
    <d v="2023-04-30T00:00:00"/>
    <x v="141"/>
    <x v="1"/>
    <x v="1"/>
    <n v="1"/>
    <n v="822"/>
    <n v="822"/>
  </r>
  <r>
    <s v="ORD00719"/>
    <d v="2023-01-21T00:00:00"/>
    <x v="267"/>
    <x v="3"/>
    <x v="3"/>
    <n v="1"/>
    <n v="489"/>
    <n v="489"/>
  </r>
  <r>
    <s v="ORD00720"/>
    <d v="2024-06-26T00:00:00"/>
    <x v="30"/>
    <x v="1"/>
    <x v="4"/>
    <n v="3"/>
    <n v="1079"/>
    <n v="3237"/>
  </r>
  <r>
    <s v="ORD00721"/>
    <d v="2023-07-31T00:00:00"/>
    <x v="24"/>
    <x v="1"/>
    <x v="0"/>
    <n v="2"/>
    <n v="535"/>
    <n v="1070"/>
  </r>
  <r>
    <s v="ORD00722"/>
    <d v="2024-04-24T00:00:00"/>
    <x v="63"/>
    <x v="2"/>
    <x v="0"/>
    <n v="3"/>
    <n v="528"/>
    <n v="1584"/>
  </r>
  <r>
    <s v="ORD00723"/>
    <d v="2023-10-12T00:00:00"/>
    <x v="170"/>
    <x v="2"/>
    <x v="1"/>
    <n v="2"/>
    <n v="984"/>
    <n v="1968"/>
  </r>
  <r>
    <s v="ORD00724"/>
    <d v="2023-01-31T00:00:00"/>
    <x v="57"/>
    <x v="2"/>
    <x v="3"/>
    <n v="2"/>
    <n v="1011"/>
    <n v="2022"/>
  </r>
  <r>
    <s v="ORD00725"/>
    <d v="2023-07-05T00:00:00"/>
    <x v="142"/>
    <x v="0"/>
    <x v="2"/>
    <n v="2"/>
    <n v="974"/>
    <n v="1948"/>
  </r>
  <r>
    <s v="ORD00726"/>
    <d v="2023-07-22T00:00:00"/>
    <x v="179"/>
    <x v="2"/>
    <x v="1"/>
    <n v="4"/>
    <n v="602"/>
    <n v="2408"/>
  </r>
  <r>
    <s v="ORD00727"/>
    <d v="2023-12-06T00:00:00"/>
    <x v="244"/>
    <x v="3"/>
    <x v="4"/>
    <n v="3"/>
    <n v="494"/>
    <n v="1482"/>
  </r>
  <r>
    <s v="ORD00728"/>
    <d v="2023-09-27T00:00:00"/>
    <x v="177"/>
    <x v="0"/>
    <x v="4"/>
    <n v="3"/>
    <n v="307"/>
    <n v="921"/>
  </r>
  <r>
    <s v="ORD00729"/>
    <d v="2023-09-08T00:00:00"/>
    <x v="237"/>
    <x v="2"/>
    <x v="0"/>
    <n v="4"/>
    <n v="449"/>
    <n v="1796"/>
  </r>
  <r>
    <s v="ORD00730"/>
    <d v="2024-09-25T00:00:00"/>
    <x v="118"/>
    <x v="2"/>
    <x v="3"/>
    <n v="4"/>
    <n v="725"/>
    <n v="2900"/>
  </r>
  <r>
    <s v="ORD00731"/>
    <d v="2023-02-20T00:00:00"/>
    <x v="40"/>
    <x v="2"/>
    <x v="1"/>
    <n v="1"/>
    <n v="1023"/>
    <n v="1023"/>
  </r>
  <r>
    <s v="ORD00732"/>
    <d v="2023-03-01T00:00:00"/>
    <x v="239"/>
    <x v="0"/>
    <x v="0"/>
    <n v="4"/>
    <n v="465"/>
    <n v="1860"/>
  </r>
  <r>
    <s v="ORD00733"/>
    <d v="2024-10-10T00:00:00"/>
    <x v="226"/>
    <x v="3"/>
    <x v="3"/>
    <n v="2"/>
    <n v="728"/>
    <n v="1456"/>
  </r>
  <r>
    <s v="ORD00734"/>
    <d v="2024-03-15T00:00:00"/>
    <x v="246"/>
    <x v="2"/>
    <x v="3"/>
    <n v="4"/>
    <n v="1134"/>
    <n v="4536"/>
  </r>
  <r>
    <s v="ORD00735"/>
    <d v="2024-05-19T00:00:00"/>
    <x v="271"/>
    <x v="0"/>
    <x v="0"/>
    <n v="3"/>
    <n v="461"/>
    <n v="1383"/>
  </r>
  <r>
    <s v="ORD00736"/>
    <d v="2023-09-17T00:00:00"/>
    <x v="180"/>
    <x v="0"/>
    <x v="2"/>
    <n v="3"/>
    <n v="357"/>
    <n v="1071"/>
  </r>
  <r>
    <s v="ORD00737"/>
    <d v="2024-04-09T00:00:00"/>
    <x v="14"/>
    <x v="2"/>
    <x v="4"/>
    <n v="2"/>
    <n v="919"/>
    <n v="1838"/>
  </r>
  <r>
    <s v="ORD00738"/>
    <d v="2023-01-08T00:00:00"/>
    <x v="272"/>
    <x v="2"/>
    <x v="3"/>
    <n v="4"/>
    <n v="1152"/>
    <n v="4608"/>
  </r>
  <r>
    <s v="ORD00739"/>
    <d v="2024-04-07T00:00:00"/>
    <x v="81"/>
    <x v="3"/>
    <x v="3"/>
    <n v="3"/>
    <n v="320"/>
    <n v="960"/>
  </r>
  <r>
    <s v="ORD00740"/>
    <d v="2024-03-06T00:00:00"/>
    <x v="226"/>
    <x v="3"/>
    <x v="0"/>
    <n v="5"/>
    <n v="598"/>
    <n v="2990"/>
  </r>
  <r>
    <s v="ORD00741"/>
    <d v="2023-01-05T00:00:00"/>
    <x v="236"/>
    <x v="2"/>
    <x v="4"/>
    <n v="2"/>
    <n v="267"/>
    <n v="534"/>
  </r>
  <r>
    <s v="ORD00742"/>
    <d v="2023-08-06T00:00:00"/>
    <x v="97"/>
    <x v="3"/>
    <x v="1"/>
    <n v="1"/>
    <n v="546"/>
    <n v="546"/>
  </r>
  <r>
    <s v="ORD00743"/>
    <d v="2023-05-29T00:00:00"/>
    <x v="20"/>
    <x v="1"/>
    <x v="0"/>
    <n v="5"/>
    <n v="235"/>
    <n v="1175"/>
  </r>
  <r>
    <s v="ORD00744"/>
    <d v="2023-12-07T00:00:00"/>
    <x v="156"/>
    <x v="0"/>
    <x v="4"/>
    <n v="1"/>
    <n v="754"/>
    <n v="754"/>
  </r>
  <r>
    <s v="ORD00745"/>
    <d v="2023-08-20T00:00:00"/>
    <x v="232"/>
    <x v="3"/>
    <x v="0"/>
    <n v="3"/>
    <n v="516"/>
    <n v="1548"/>
  </r>
  <r>
    <s v="ORD00746"/>
    <d v="2024-06-15T00:00:00"/>
    <x v="16"/>
    <x v="0"/>
    <x v="4"/>
    <n v="3"/>
    <n v="772"/>
    <n v="2316"/>
  </r>
  <r>
    <s v="ORD00747"/>
    <d v="2023-01-14T00:00:00"/>
    <x v="273"/>
    <x v="2"/>
    <x v="2"/>
    <n v="3"/>
    <n v="263"/>
    <n v="789"/>
  </r>
  <r>
    <s v="ORD00748"/>
    <d v="2023-12-29T00:00:00"/>
    <x v="97"/>
    <x v="3"/>
    <x v="3"/>
    <n v="1"/>
    <n v="275"/>
    <n v="275"/>
  </r>
  <r>
    <s v="ORD00749"/>
    <d v="2023-01-29T00:00:00"/>
    <x v="270"/>
    <x v="3"/>
    <x v="0"/>
    <n v="1"/>
    <n v="152"/>
    <n v="152"/>
  </r>
  <r>
    <s v="ORD00750"/>
    <d v="2023-10-20T00:00:00"/>
    <x v="70"/>
    <x v="0"/>
    <x v="2"/>
    <n v="3"/>
    <n v="1160"/>
    <n v="3480"/>
  </r>
  <r>
    <s v="ORD00751"/>
    <d v="2023-05-31T00:00:00"/>
    <x v="155"/>
    <x v="2"/>
    <x v="1"/>
    <n v="1"/>
    <n v="998"/>
    <n v="998"/>
  </r>
  <r>
    <s v="ORD00752"/>
    <d v="2024-06-12T00:00:00"/>
    <x v="44"/>
    <x v="2"/>
    <x v="3"/>
    <n v="2"/>
    <n v="1044"/>
    <n v="2088"/>
  </r>
  <r>
    <s v="ORD00753"/>
    <d v="2024-09-18T00:00:00"/>
    <x v="205"/>
    <x v="0"/>
    <x v="3"/>
    <n v="3"/>
    <n v="508"/>
    <n v="1524"/>
  </r>
  <r>
    <s v="ORD00754"/>
    <d v="2024-07-10T00:00:00"/>
    <x v="180"/>
    <x v="3"/>
    <x v="2"/>
    <n v="4"/>
    <n v="147"/>
    <n v="588"/>
  </r>
  <r>
    <s v="ORD00755"/>
    <d v="2024-04-16T00:00:00"/>
    <x v="157"/>
    <x v="1"/>
    <x v="2"/>
    <n v="3"/>
    <n v="934"/>
    <n v="2802"/>
  </r>
  <r>
    <s v="ORD00756"/>
    <d v="2023-04-21T00:00:00"/>
    <x v="82"/>
    <x v="3"/>
    <x v="1"/>
    <n v="1"/>
    <n v="542"/>
    <n v="542"/>
  </r>
  <r>
    <s v="ORD00757"/>
    <d v="2023-07-12T00:00:00"/>
    <x v="20"/>
    <x v="3"/>
    <x v="0"/>
    <n v="1"/>
    <n v="1057"/>
    <n v="1057"/>
  </r>
  <r>
    <s v="ORD00758"/>
    <d v="2023-12-10T00:00:00"/>
    <x v="54"/>
    <x v="3"/>
    <x v="3"/>
    <n v="5"/>
    <n v="484"/>
    <n v="2420"/>
  </r>
  <r>
    <s v="ORD00759"/>
    <d v="2023-04-05T00:00:00"/>
    <x v="255"/>
    <x v="1"/>
    <x v="3"/>
    <n v="5"/>
    <n v="1033"/>
    <n v="5165"/>
  </r>
  <r>
    <s v="ORD00760"/>
    <d v="2024-07-27T00:00:00"/>
    <x v="72"/>
    <x v="3"/>
    <x v="2"/>
    <n v="2"/>
    <n v="610"/>
    <n v="1220"/>
  </r>
  <r>
    <s v="ORD00761"/>
    <d v="2024-11-10T00:00:00"/>
    <x v="166"/>
    <x v="0"/>
    <x v="0"/>
    <n v="1"/>
    <n v="724"/>
    <n v="724"/>
  </r>
  <r>
    <s v="ORD00762"/>
    <d v="2023-12-11T00:00:00"/>
    <x v="182"/>
    <x v="0"/>
    <x v="1"/>
    <n v="2"/>
    <n v="592"/>
    <n v="1184"/>
  </r>
  <r>
    <s v="ORD00763"/>
    <d v="2024-06-28T00:00:00"/>
    <x v="261"/>
    <x v="3"/>
    <x v="1"/>
    <n v="3"/>
    <n v="431"/>
    <n v="1293"/>
  </r>
  <r>
    <s v="ORD00764"/>
    <d v="2023-07-28T00:00:00"/>
    <x v="44"/>
    <x v="1"/>
    <x v="4"/>
    <n v="4"/>
    <n v="384"/>
    <n v="1536"/>
  </r>
  <r>
    <s v="ORD00765"/>
    <d v="2023-11-18T00:00:00"/>
    <x v="256"/>
    <x v="1"/>
    <x v="0"/>
    <n v="1"/>
    <n v="1140"/>
    <n v="1140"/>
  </r>
  <r>
    <s v="ORD00766"/>
    <d v="2023-12-19T00:00:00"/>
    <x v="227"/>
    <x v="1"/>
    <x v="0"/>
    <n v="1"/>
    <n v="668"/>
    <n v="668"/>
  </r>
  <r>
    <s v="ORD00767"/>
    <d v="2023-09-21T00:00:00"/>
    <x v="143"/>
    <x v="1"/>
    <x v="2"/>
    <n v="5"/>
    <n v="1195"/>
    <n v="5975"/>
  </r>
  <r>
    <s v="ORD00768"/>
    <d v="2024-01-27T00:00:00"/>
    <x v="205"/>
    <x v="1"/>
    <x v="4"/>
    <n v="1"/>
    <n v="627"/>
    <n v="627"/>
  </r>
  <r>
    <s v="ORD00769"/>
    <d v="2024-08-14T00:00:00"/>
    <x v="140"/>
    <x v="1"/>
    <x v="2"/>
    <n v="3"/>
    <n v="322"/>
    <n v="966"/>
  </r>
  <r>
    <s v="ORD00770"/>
    <d v="2023-06-03T00:00:00"/>
    <x v="56"/>
    <x v="1"/>
    <x v="1"/>
    <n v="5"/>
    <n v="515"/>
    <n v="2575"/>
  </r>
  <r>
    <s v="ORD00771"/>
    <d v="2023-02-06T00:00:00"/>
    <x v="28"/>
    <x v="3"/>
    <x v="2"/>
    <n v="2"/>
    <n v="1191"/>
    <n v="2382"/>
  </r>
  <r>
    <s v="ORD00772"/>
    <d v="2023-06-15T00:00:00"/>
    <x v="73"/>
    <x v="2"/>
    <x v="4"/>
    <n v="3"/>
    <n v="1098"/>
    <n v="3294"/>
  </r>
  <r>
    <s v="ORD00773"/>
    <d v="2024-02-02T00:00:00"/>
    <x v="249"/>
    <x v="2"/>
    <x v="4"/>
    <n v="1"/>
    <n v="271"/>
    <n v="271"/>
  </r>
  <r>
    <s v="ORD00774"/>
    <d v="2023-07-30T00:00:00"/>
    <x v="200"/>
    <x v="3"/>
    <x v="0"/>
    <n v="2"/>
    <n v="665"/>
    <n v="1330"/>
  </r>
  <r>
    <s v="ORD00775"/>
    <d v="2023-04-16T00:00:00"/>
    <x v="274"/>
    <x v="1"/>
    <x v="0"/>
    <n v="3"/>
    <n v="798"/>
    <n v="2394"/>
  </r>
  <r>
    <s v="ORD00776"/>
    <d v="2023-05-12T00:00:00"/>
    <x v="202"/>
    <x v="3"/>
    <x v="3"/>
    <n v="5"/>
    <n v="390"/>
    <n v="1950"/>
  </r>
  <r>
    <s v="ORD00777"/>
    <d v="2023-04-22T00:00:00"/>
    <x v="163"/>
    <x v="3"/>
    <x v="1"/>
    <n v="2"/>
    <n v="861"/>
    <n v="1722"/>
  </r>
  <r>
    <s v="ORD00778"/>
    <d v="2023-03-17T00:00:00"/>
    <x v="133"/>
    <x v="2"/>
    <x v="0"/>
    <n v="4"/>
    <n v="539"/>
    <n v="2156"/>
  </r>
  <r>
    <s v="ORD00779"/>
    <d v="2023-03-12T00:00:00"/>
    <x v="189"/>
    <x v="1"/>
    <x v="3"/>
    <n v="4"/>
    <n v="917"/>
    <n v="3668"/>
  </r>
  <r>
    <s v="ORD00780"/>
    <d v="2023-12-25T00:00:00"/>
    <x v="171"/>
    <x v="1"/>
    <x v="0"/>
    <n v="5"/>
    <n v="1011"/>
    <n v="5055"/>
  </r>
  <r>
    <s v="ORD00781"/>
    <d v="2024-03-18T00:00:00"/>
    <x v="122"/>
    <x v="3"/>
    <x v="0"/>
    <n v="4"/>
    <n v="293"/>
    <n v="1172"/>
  </r>
  <r>
    <s v="ORD00782"/>
    <d v="2024-10-17T00:00:00"/>
    <x v="232"/>
    <x v="1"/>
    <x v="4"/>
    <n v="3"/>
    <n v="214"/>
    <n v="642"/>
  </r>
  <r>
    <s v="ORD00783"/>
    <d v="2023-12-20T00:00:00"/>
    <x v="275"/>
    <x v="0"/>
    <x v="0"/>
    <n v="2"/>
    <n v="147"/>
    <n v="294"/>
  </r>
  <r>
    <s v="ORD00784"/>
    <d v="2023-04-09T00:00:00"/>
    <x v="241"/>
    <x v="0"/>
    <x v="2"/>
    <n v="5"/>
    <n v="288"/>
    <n v="1440"/>
  </r>
  <r>
    <s v="ORD00785"/>
    <d v="2023-02-27T00:00:00"/>
    <x v="140"/>
    <x v="2"/>
    <x v="2"/>
    <n v="2"/>
    <n v="277"/>
    <n v="554"/>
  </r>
  <r>
    <s v="ORD00786"/>
    <d v="2023-12-26T00:00:00"/>
    <x v="131"/>
    <x v="3"/>
    <x v="1"/>
    <n v="1"/>
    <n v="1005"/>
    <n v="1005"/>
  </r>
  <r>
    <s v="ORD00787"/>
    <d v="2023-07-14T00:00:00"/>
    <x v="30"/>
    <x v="3"/>
    <x v="2"/>
    <n v="4"/>
    <n v="842"/>
    <n v="3368"/>
  </r>
  <r>
    <s v="ORD00788"/>
    <d v="2024-02-10T00:00:00"/>
    <x v="262"/>
    <x v="0"/>
    <x v="3"/>
    <n v="5"/>
    <n v="972"/>
    <n v="4860"/>
  </r>
  <r>
    <s v="ORD00789"/>
    <d v="2024-07-30T00:00:00"/>
    <x v="244"/>
    <x v="3"/>
    <x v="4"/>
    <n v="5"/>
    <n v="805"/>
    <n v="4025"/>
  </r>
  <r>
    <s v="ORD00790"/>
    <d v="2024-04-27T00:00:00"/>
    <x v="162"/>
    <x v="3"/>
    <x v="0"/>
    <n v="3"/>
    <n v="205"/>
    <n v="615"/>
  </r>
  <r>
    <s v="ORD00791"/>
    <d v="2024-10-23T00:00:00"/>
    <x v="213"/>
    <x v="2"/>
    <x v="2"/>
    <n v="1"/>
    <n v="194"/>
    <n v="194"/>
  </r>
  <r>
    <s v="ORD00792"/>
    <d v="2023-03-12T00:00:00"/>
    <x v="96"/>
    <x v="0"/>
    <x v="4"/>
    <n v="3"/>
    <n v="102"/>
    <n v="306"/>
  </r>
  <r>
    <s v="ORD00793"/>
    <d v="2024-07-28T00:00:00"/>
    <x v="151"/>
    <x v="2"/>
    <x v="0"/>
    <n v="1"/>
    <n v="938"/>
    <n v="938"/>
  </r>
  <r>
    <s v="ORD00794"/>
    <d v="2024-02-01T00:00:00"/>
    <x v="18"/>
    <x v="3"/>
    <x v="2"/>
    <n v="2"/>
    <n v="857"/>
    <n v="1714"/>
  </r>
  <r>
    <s v="ORD00795"/>
    <d v="2023-12-21T00:00:00"/>
    <x v="131"/>
    <x v="3"/>
    <x v="3"/>
    <n v="1"/>
    <n v="966"/>
    <n v="966"/>
  </r>
  <r>
    <s v="ORD00796"/>
    <d v="2023-02-11T00:00:00"/>
    <x v="230"/>
    <x v="1"/>
    <x v="2"/>
    <n v="2"/>
    <n v="599"/>
    <n v="1198"/>
  </r>
  <r>
    <s v="ORD00797"/>
    <d v="2023-01-04T00:00:00"/>
    <x v="276"/>
    <x v="1"/>
    <x v="0"/>
    <n v="1"/>
    <n v="572"/>
    <n v="572"/>
  </r>
  <r>
    <s v="ORD00798"/>
    <d v="2024-02-20T00:00:00"/>
    <x v="103"/>
    <x v="3"/>
    <x v="4"/>
    <n v="5"/>
    <n v="1200"/>
    <n v="6000"/>
  </r>
  <r>
    <s v="ORD00799"/>
    <d v="2023-07-05T00:00:00"/>
    <x v="164"/>
    <x v="1"/>
    <x v="1"/>
    <n v="5"/>
    <n v="102"/>
    <n v="510"/>
  </r>
  <r>
    <s v="ORD00800"/>
    <d v="2023-06-08T00:00:00"/>
    <x v="217"/>
    <x v="2"/>
    <x v="4"/>
    <n v="5"/>
    <n v="745"/>
    <n v="3725"/>
  </r>
  <r>
    <s v="ORD00801"/>
    <d v="2023-06-24T00:00:00"/>
    <x v="162"/>
    <x v="0"/>
    <x v="3"/>
    <n v="5"/>
    <n v="875"/>
    <n v="4375"/>
  </r>
  <r>
    <s v="ORD00802"/>
    <d v="2024-03-09T00:00:00"/>
    <x v="277"/>
    <x v="3"/>
    <x v="4"/>
    <n v="5"/>
    <n v="832"/>
    <n v="4160"/>
  </r>
  <r>
    <s v="ORD00803"/>
    <d v="2024-04-08T00:00:00"/>
    <x v="193"/>
    <x v="0"/>
    <x v="2"/>
    <n v="3"/>
    <n v="1103"/>
    <n v="3309"/>
  </r>
  <r>
    <s v="ORD00804"/>
    <d v="2024-07-25T00:00:00"/>
    <x v="104"/>
    <x v="0"/>
    <x v="0"/>
    <n v="3"/>
    <n v="348"/>
    <n v="1044"/>
  </r>
  <r>
    <s v="ORD00805"/>
    <d v="2023-11-05T00:00:00"/>
    <x v="24"/>
    <x v="3"/>
    <x v="2"/>
    <n v="1"/>
    <n v="1132"/>
    <n v="1132"/>
  </r>
  <r>
    <s v="ORD00806"/>
    <d v="2024-11-13T00:00:00"/>
    <x v="278"/>
    <x v="2"/>
    <x v="1"/>
    <n v="3"/>
    <n v="823"/>
    <n v="2469"/>
  </r>
  <r>
    <s v="ORD00807"/>
    <d v="2023-07-01T00:00:00"/>
    <x v="206"/>
    <x v="2"/>
    <x v="0"/>
    <n v="5"/>
    <n v="947"/>
    <n v="4735"/>
  </r>
  <r>
    <s v="ORD00808"/>
    <d v="2024-02-05T00:00:00"/>
    <x v="173"/>
    <x v="0"/>
    <x v="1"/>
    <n v="4"/>
    <n v="278"/>
    <n v="1112"/>
  </r>
  <r>
    <s v="ORD00809"/>
    <d v="2023-11-15T00:00:00"/>
    <x v="158"/>
    <x v="3"/>
    <x v="3"/>
    <n v="5"/>
    <n v="725"/>
    <n v="3625"/>
  </r>
  <r>
    <s v="ORD00810"/>
    <d v="2024-06-13T00:00:00"/>
    <x v="115"/>
    <x v="3"/>
    <x v="3"/>
    <n v="2"/>
    <n v="1104"/>
    <n v="2208"/>
  </r>
  <r>
    <s v="ORD00811"/>
    <d v="2024-03-22T00:00:00"/>
    <x v="22"/>
    <x v="3"/>
    <x v="1"/>
    <n v="3"/>
    <n v="986"/>
    <n v="2958"/>
  </r>
  <r>
    <s v="ORD00812"/>
    <d v="2023-11-30T00:00:00"/>
    <x v="24"/>
    <x v="2"/>
    <x v="1"/>
    <n v="5"/>
    <n v="1127"/>
    <n v="5635"/>
  </r>
  <r>
    <s v="ORD00813"/>
    <d v="2023-04-28T00:00:00"/>
    <x v="43"/>
    <x v="1"/>
    <x v="0"/>
    <n v="2"/>
    <n v="974"/>
    <n v="1948"/>
  </r>
  <r>
    <s v="ORD00814"/>
    <d v="2024-01-19T00:00:00"/>
    <x v="152"/>
    <x v="1"/>
    <x v="1"/>
    <n v="4"/>
    <n v="203"/>
    <n v="812"/>
  </r>
  <r>
    <s v="ORD00815"/>
    <d v="2024-10-23T00:00:00"/>
    <x v="8"/>
    <x v="3"/>
    <x v="1"/>
    <n v="4"/>
    <n v="836"/>
    <n v="3344"/>
  </r>
  <r>
    <s v="ORD00816"/>
    <d v="2024-07-05T00:00:00"/>
    <x v="2"/>
    <x v="1"/>
    <x v="2"/>
    <n v="3"/>
    <n v="226"/>
    <n v="678"/>
  </r>
  <r>
    <s v="ORD00817"/>
    <d v="2023-02-12T00:00:00"/>
    <x v="245"/>
    <x v="1"/>
    <x v="2"/>
    <n v="2"/>
    <n v="602"/>
    <n v="1204"/>
  </r>
  <r>
    <s v="ORD00818"/>
    <d v="2024-11-24T00:00:00"/>
    <x v="279"/>
    <x v="0"/>
    <x v="0"/>
    <n v="1"/>
    <n v="567"/>
    <n v="567"/>
  </r>
  <r>
    <s v="ORD00819"/>
    <d v="2023-04-23T00:00:00"/>
    <x v="174"/>
    <x v="1"/>
    <x v="4"/>
    <n v="2"/>
    <n v="899"/>
    <n v="1798"/>
  </r>
  <r>
    <s v="ORD00820"/>
    <d v="2023-06-15T00:00:00"/>
    <x v="234"/>
    <x v="2"/>
    <x v="2"/>
    <n v="2"/>
    <n v="783"/>
    <n v="1566"/>
  </r>
  <r>
    <s v="ORD00821"/>
    <d v="2023-07-19T00:00:00"/>
    <x v="238"/>
    <x v="3"/>
    <x v="4"/>
    <n v="3"/>
    <n v="799"/>
    <n v="2397"/>
  </r>
  <r>
    <s v="ORD00822"/>
    <d v="2024-06-10T00:00:00"/>
    <x v="2"/>
    <x v="3"/>
    <x v="1"/>
    <n v="4"/>
    <n v="874"/>
    <n v="3496"/>
  </r>
  <r>
    <s v="ORD00823"/>
    <d v="2023-12-10T00:00:00"/>
    <x v="162"/>
    <x v="2"/>
    <x v="2"/>
    <n v="5"/>
    <n v="551"/>
    <n v="2755"/>
  </r>
  <r>
    <s v="ORD00824"/>
    <d v="2023-03-09T00:00:00"/>
    <x v="180"/>
    <x v="0"/>
    <x v="4"/>
    <n v="4"/>
    <n v="483"/>
    <n v="1932"/>
  </r>
  <r>
    <s v="ORD00825"/>
    <d v="2024-04-28T00:00:00"/>
    <x v="93"/>
    <x v="0"/>
    <x v="2"/>
    <n v="3"/>
    <n v="1169"/>
    <n v="3507"/>
  </r>
  <r>
    <s v="ORD00826"/>
    <d v="2024-08-28T00:00:00"/>
    <x v="128"/>
    <x v="0"/>
    <x v="2"/>
    <n v="4"/>
    <n v="473"/>
    <n v="1892"/>
  </r>
  <r>
    <s v="ORD00827"/>
    <d v="2023-12-12T00:00:00"/>
    <x v="47"/>
    <x v="0"/>
    <x v="4"/>
    <n v="3"/>
    <n v="221"/>
    <n v="663"/>
  </r>
  <r>
    <s v="ORD00828"/>
    <d v="2023-05-01T00:00:00"/>
    <x v="23"/>
    <x v="0"/>
    <x v="0"/>
    <n v="4"/>
    <n v="699"/>
    <n v="2796"/>
  </r>
  <r>
    <s v="ORD00829"/>
    <d v="2024-07-05T00:00:00"/>
    <x v="80"/>
    <x v="1"/>
    <x v="0"/>
    <n v="3"/>
    <n v="413"/>
    <n v="1239"/>
  </r>
  <r>
    <s v="ORD00830"/>
    <d v="2023-10-14T00:00:00"/>
    <x v="236"/>
    <x v="1"/>
    <x v="1"/>
    <n v="5"/>
    <n v="577"/>
    <n v="2885"/>
  </r>
  <r>
    <s v="ORD00831"/>
    <d v="2024-08-21T00:00:00"/>
    <x v="173"/>
    <x v="1"/>
    <x v="2"/>
    <n v="3"/>
    <n v="987"/>
    <n v="2961"/>
  </r>
  <r>
    <s v="ORD00832"/>
    <d v="2023-11-26T00:00:00"/>
    <x v="80"/>
    <x v="1"/>
    <x v="2"/>
    <n v="1"/>
    <n v="648"/>
    <n v="648"/>
  </r>
  <r>
    <s v="ORD00833"/>
    <d v="2024-10-29T00:00:00"/>
    <x v="140"/>
    <x v="0"/>
    <x v="4"/>
    <n v="1"/>
    <n v="746"/>
    <n v="746"/>
  </r>
  <r>
    <s v="ORD00834"/>
    <d v="2023-10-28T00:00:00"/>
    <x v="89"/>
    <x v="1"/>
    <x v="0"/>
    <n v="4"/>
    <n v="597"/>
    <n v="2388"/>
  </r>
  <r>
    <s v="ORD00835"/>
    <d v="2023-09-02T00:00:00"/>
    <x v="174"/>
    <x v="2"/>
    <x v="1"/>
    <n v="4"/>
    <n v="212"/>
    <n v="848"/>
  </r>
  <r>
    <s v="ORD00836"/>
    <d v="2024-01-19T00:00:00"/>
    <x v="49"/>
    <x v="1"/>
    <x v="1"/>
    <n v="4"/>
    <n v="1140"/>
    <n v="4560"/>
  </r>
  <r>
    <s v="ORD00837"/>
    <d v="2024-11-22T00:00:00"/>
    <x v="35"/>
    <x v="1"/>
    <x v="1"/>
    <n v="5"/>
    <n v="643"/>
    <n v="3215"/>
  </r>
  <r>
    <s v="ORD00838"/>
    <d v="2023-09-08T00:00:00"/>
    <x v="30"/>
    <x v="2"/>
    <x v="4"/>
    <n v="5"/>
    <n v="1111"/>
    <n v="5555"/>
  </r>
  <r>
    <s v="ORD00839"/>
    <d v="2023-09-23T00:00:00"/>
    <x v="61"/>
    <x v="0"/>
    <x v="4"/>
    <n v="1"/>
    <n v="739"/>
    <n v="739"/>
  </r>
  <r>
    <s v="ORD00840"/>
    <d v="2024-04-29T00:00:00"/>
    <x v="53"/>
    <x v="0"/>
    <x v="1"/>
    <n v="3"/>
    <n v="481"/>
    <n v="1443"/>
  </r>
  <r>
    <s v="ORD00841"/>
    <d v="2024-09-06T00:00:00"/>
    <x v="209"/>
    <x v="1"/>
    <x v="3"/>
    <n v="1"/>
    <n v="882"/>
    <n v="882"/>
  </r>
  <r>
    <s v="ORD00842"/>
    <d v="2023-03-17T00:00:00"/>
    <x v="6"/>
    <x v="0"/>
    <x v="2"/>
    <n v="4"/>
    <n v="339"/>
    <n v="1356"/>
  </r>
  <r>
    <s v="ORD00843"/>
    <d v="2023-12-15T00:00:00"/>
    <x v="163"/>
    <x v="1"/>
    <x v="2"/>
    <n v="4"/>
    <n v="1062"/>
    <n v="4248"/>
  </r>
  <r>
    <s v="ORD00844"/>
    <d v="2024-03-31T00:00:00"/>
    <x v="33"/>
    <x v="3"/>
    <x v="1"/>
    <n v="3"/>
    <n v="679"/>
    <n v="2037"/>
  </r>
  <r>
    <s v="ORD00845"/>
    <d v="2024-08-18T00:00:00"/>
    <x v="253"/>
    <x v="1"/>
    <x v="1"/>
    <n v="2"/>
    <n v="135"/>
    <n v="270"/>
  </r>
  <r>
    <s v="ORD00846"/>
    <d v="2024-07-09T00:00:00"/>
    <x v="273"/>
    <x v="1"/>
    <x v="4"/>
    <n v="1"/>
    <n v="246"/>
    <n v="246"/>
  </r>
  <r>
    <s v="ORD00847"/>
    <d v="2024-09-24T00:00:00"/>
    <x v="280"/>
    <x v="2"/>
    <x v="1"/>
    <n v="5"/>
    <n v="575"/>
    <n v="2875"/>
  </r>
  <r>
    <s v="ORD00848"/>
    <d v="2023-07-05T00:00:00"/>
    <x v="190"/>
    <x v="0"/>
    <x v="4"/>
    <n v="5"/>
    <n v="699"/>
    <n v="3495"/>
  </r>
  <r>
    <s v="ORD00849"/>
    <d v="2024-05-22T00:00:00"/>
    <x v="98"/>
    <x v="3"/>
    <x v="0"/>
    <n v="4"/>
    <n v="877"/>
    <n v="3508"/>
  </r>
  <r>
    <s v="ORD00850"/>
    <d v="2024-02-10T00:00:00"/>
    <x v="31"/>
    <x v="3"/>
    <x v="1"/>
    <n v="3"/>
    <n v="907"/>
    <n v="2721"/>
  </r>
  <r>
    <s v="ORD00851"/>
    <d v="2024-07-04T00:00:00"/>
    <x v="229"/>
    <x v="3"/>
    <x v="2"/>
    <n v="4"/>
    <n v="595"/>
    <n v="2380"/>
  </r>
  <r>
    <s v="ORD00852"/>
    <d v="2023-07-28T00:00:00"/>
    <x v="281"/>
    <x v="2"/>
    <x v="2"/>
    <n v="4"/>
    <n v="445"/>
    <n v="1780"/>
  </r>
  <r>
    <s v="ORD00853"/>
    <d v="2024-02-24T00:00:00"/>
    <x v="206"/>
    <x v="2"/>
    <x v="4"/>
    <n v="2"/>
    <n v="365"/>
    <n v="730"/>
  </r>
  <r>
    <s v="ORD00854"/>
    <d v="2024-09-19T00:00:00"/>
    <x v="160"/>
    <x v="3"/>
    <x v="0"/>
    <n v="2"/>
    <n v="585"/>
    <n v="1170"/>
  </r>
  <r>
    <s v="ORD00855"/>
    <d v="2024-08-09T00:00:00"/>
    <x v="231"/>
    <x v="0"/>
    <x v="2"/>
    <n v="2"/>
    <n v="595"/>
    <n v="1190"/>
  </r>
  <r>
    <s v="ORD00856"/>
    <d v="2023-07-21T00:00:00"/>
    <x v="4"/>
    <x v="0"/>
    <x v="2"/>
    <n v="3"/>
    <n v="1059"/>
    <n v="3177"/>
  </r>
  <r>
    <s v="ORD00857"/>
    <d v="2024-08-23T00:00:00"/>
    <x v="117"/>
    <x v="0"/>
    <x v="2"/>
    <n v="5"/>
    <n v="219"/>
    <n v="1095"/>
  </r>
  <r>
    <s v="ORD00858"/>
    <d v="2023-08-13T00:00:00"/>
    <x v="194"/>
    <x v="3"/>
    <x v="2"/>
    <n v="3"/>
    <n v="594"/>
    <n v="1782"/>
  </r>
  <r>
    <s v="ORD00859"/>
    <d v="2023-12-21T00:00:00"/>
    <x v="282"/>
    <x v="1"/>
    <x v="3"/>
    <n v="1"/>
    <n v="787"/>
    <n v="787"/>
  </r>
  <r>
    <s v="ORD00860"/>
    <d v="2024-07-15T00:00:00"/>
    <x v="120"/>
    <x v="2"/>
    <x v="3"/>
    <n v="4"/>
    <n v="241"/>
    <n v="964"/>
  </r>
  <r>
    <s v="ORD00861"/>
    <d v="2024-02-16T00:00:00"/>
    <x v="10"/>
    <x v="0"/>
    <x v="1"/>
    <n v="3"/>
    <n v="198"/>
    <n v="594"/>
  </r>
  <r>
    <s v="ORD00862"/>
    <d v="2023-05-25T00:00:00"/>
    <x v="133"/>
    <x v="1"/>
    <x v="4"/>
    <n v="2"/>
    <n v="327"/>
    <n v="654"/>
  </r>
  <r>
    <s v="ORD00863"/>
    <d v="2024-11-24T00:00:00"/>
    <x v="94"/>
    <x v="3"/>
    <x v="4"/>
    <n v="1"/>
    <n v="123"/>
    <n v="123"/>
  </r>
  <r>
    <s v="ORD00864"/>
    <d v="2023-05-10T00:00:00"/>
    <x v="70"/>
    <x v="0"/>
    <x v="1"/>
    <n v="3"/>
    <n v="836"/>
    <n v="2508"/>
  </r>
  <r>
    <s v="ORD00865"/>
    <d v="2023-10-26T00:00:00"/>
    <x v="265"/>
    <x v="3"/>
    <x v="0"/>
    <n v="5"/>
    <n v="323"/>
    <n v="1615"/>
  </r>
  <r>
    <s v="ORD00866"/>
    <d v="2023-01-23T00:00:00"/>
    <x v="80"/>
    <x v="1"/>
    <x v="2"/>
    <n v="4"/>
    <n v="601"/>
    <n v="2404"/>
  </r>
  <r>
    <s v="ORD00867"/>
    <d v="2023-07-24T00:00:00"/>
    <x v="30"/>
    <x v="2"/>
    <x v="0"/>
    <n v="4"/>
    <n v="753"/>
    <n v="3012"/>
  </r>
  <r>
    <s v="ORD00868"/>
    <d v="2024-02-15T00:00:00"/>
    <x v="134"/>
    <x v="0"/>
    <x v="0"/>
    <n v="4"/>
    <n v="330"/>
    <n v="1320"/>
  </r>
  <r>
    <s v="ORD00869"/>
    <d v="2023-12-22T00:00:00"/>
    <x v="198"/>
    <x v="0"/>
    <x v="3"/>
    <n v="4"/>
    <n v="104"/>
    <n v="416"/>
  </r>
  <r>
    <s v="ORD00870"/>
    <d v="2023-07-31T00:00:00"/>
    <x v="253"/>
    <x v="3"/>
    <x v="2"/>
    <n v="3"/>
    <n v="197"/>
    <n v="591"/>
  </r>
  <r>
    <s v="ORD00871"/>
    <d v="2023-12-16T00:00:00"/>
    <x v="7"/>
    <x v="0"/>
    <x v="2"/>
    <n v="4"/>
    <n v="573"/>
    <n v="2292"/>
  </r>
  <r>
    <s v="ORD00872"/>
    <d v="2024-09-27T00:00:00"/>
    <x v="283"/>
    <x v="3"/>
    <x v="2"/>
    <n v="3"/>
    <n v="1178"/>
    <n v="3534"/>
  </r>
  <r>
    <s v="ORD00873"/>
    <d v="2024-06-14T00:00:00"/>
    <x v="259"/>
    <x v="2"/>
    <x v="2"/>
    <n v="4"/>
    <n v="813"/>
    <n v="3252"/>
  </r>
  <r>
    <s v="ORD00874"/>
    <d v="2023-10-25T00:00:00"/>
    <x v="193"/>
    <x v="2"/>
    <x v="1"/>
    <n v="1"/>
    <n v="627"/>
    <n v="627"/>
  </r>
  <r>
    <s v="ORD00875"/>
    <d v="2023-09-29T00:00:00"/>
    <x v="44"/>
    <x v="3"/>
    <x v="0"/>
    <n v="4"/>
    <n v="889"/>
    <n v="3556"/>
  </r>
  <r>
    <s v="ORD00876"/>
    <d v="2024-09-05T00:00:00"/>
    <x v="276"/>
    <x v="1"/>
    <x v="4"/>
    <n v="1"/>
    <n v="941"/>
    <n v="941"/>
  </r>
  <r>
    <s v="ORD00877"/>
    <d v="2024-04-24T00:00:00"/>
    <x v="241"/>
    <x v="1"/>
    <x v="4"/>
    <n v="3"/>
    <n v="779"/>
    <n v="2337"/>
  </r>
  <r>
    <s v="ORD00878"/>
    <d v="2023-04-20T00:00:00"/>
    <x v="250"/>
    <x v="1"/>
    <x v="3"/>
    <n v="2"/>
    <n v="678"/>
    <n v="1356"/>
  </r>
  <r>
    <s v="ORD00879"/>
    <d v="2023-07-26T00:00:00"/>
    <x v="107"/>
    <x v="2"/>
    <x v="0"/>
    <n v="5"/>
    <n v="1111"/>
    <n v="5555"/>
  </r>
  <r>
    <s v="ORD00880"/>
    <d v="2023-01-18T00:00:00"/>
    <x v="284"/>
    <x v="0"/>
    <x v="4"/>
    <n v="3"/>
    <n v="643"/>
    <n v="1929"/>
  </r>
  <r>
    <s v="ORD00881"/>
    <d v="2023-05-02T00:00:00"/>
    <x v="124"/>
    <x v="2"/>
    <x v="4"/>
    <n v="3"/>
    <n v="828"/>
    <n v="2484"/>
  </r>
  <r>
    <s v="ORD00882"/>
    <d v="2024-09-11T00:00:00"/>
    <x v="285"/>
    <x v="0"/>
    <x v="3"/>
    <n v="5"/>
    <n v="1146"/>
    <n v="5730"/>
  </r>
  <r>
    <s v="ORD00883"/>
    <d v="2024-07-15T00:00:00"/>
    <x v="236"/>
    <x v="1"/>
    <x v="4"/>
    <n v="1"/>
    <n v="1131"/>
    <n v="1131"/>
  </r>
  <r>
    <s v="ORD00884"/>
    <d v="2023-11-18T00:00:00"/>
    <x v="144"/>
    <x v="3"/>
    <x v="3"/>
    <n v="3"/>
    <n v="1134"/>
    <n v="3402"/>
  </r>
  <r>
    <s v="ORD00885"/>
    <d v="2023-07-29T00:00:00"/>
    <x v="56"/>
    <x v="2"/>
    <x v="1"/>
    <n v="2"/>
    <n v="718"/>
    <n v="1436"/>
  </r>
  <r>
    <s v="ORD00886"/>
    <d v="2024-10-18T00:00:00"/>
    <x v="7"/>
    <x v="3"/>
    <x v="1"/>
    <n v="3"/>
    <n v="731"/>
    <n v="2193"/>
  </r>
  <r>
    <s v="ORD00887"/>
    <d v="2024-10-30T00:00:00"/>
    <x v="196"/>
    <x v="0"/>
    <x v="0"/>
    <n v="2"/>
    <n v="185"/>
    <n v="370"/>
  </r>
  <r>
    <s v="ORD00888"/>
    <d v="2024-02-11T00:00:00"/>
    <x v="86"/>
    <x v="3"/>
    <x v="4"/>
    <n v="3"/>
    <n v="300"/>
    <n v="900"/>
  </r>
  <r>
    <s v="ORD00889"/>
    <d v="2024-07-24T00:00:00"/>
    <x v="212"/>
    <x v="0"/>
    <x v="1"/>
    <n v="1"/>
    <n v="971"/>
    <n v="971"/>
  </r>
  <r>
    <s v="ORD00890"/>
    <d v="2023-11-28T00:00:00"/>
    <x v="218"/>
    <x v="1"/>
    <x v="1"/>
    <n v="1"/>
    <n v="621"/>
    <n v="621"/>
  </r>
  <r>
    <s v="ORD00891"/>
    <d v="2024-10-08T00:00:00"/>
    <x v="277"/>
    <x v="3"/>
    <x v="3"/>
    <n v="4"/>
    <n v="351"/>
    <n v="1404"/>
  </r>
  <r>
    <s v="ORD00892"/>
    <d v="2023-11-13T00:00:00"/>
    <x v="48"/>
    <x v="3"/>
    <x v="3"/>
    <n v="4"/>
    <n v="293"/>
    <n v="1172"/>
  </r>
  <r>
    <s v="ORD00893"/>
    <d v="2023-11-24T00:00:00"/>
    <x v="17"/>
    <x v="1"/>
    <x v="4"/>
    <n v="3"/>
    <n v="983"/>
    <n v="2949"/>
  </r>
  <r>
    <s v="ORD00894"/>
    <d v="2023-11-10T00:00:00"/>
    <x v="239"/>
    <x v="1"/>
    <x v="4"/>
    <n v="3"/>
    <n v="775"/>
    <n v="2325"/>
  </r>
  <r>
    <s v="ORD00895"/>
    <d v="2024-11-30T00:00:00"/>
    <x v="282"/>
    <x v="3"/>
    <x v="3"/>
    <n v="2"/>
    <n v="1140"/>
    <n v="2280"/>
  </r>
  <r>
    <s v="ORD00896"/>
    <d v="2024-10-21T00:00:00"/>
    <x v="202"/>
    <x v="3"/>
    <x v="4"/>
    <n v="4"/>
    <n v="501"/>
    <n v="2004"/>
  </r>
  <r>
    <s v="ORD00897"/>
    <d v="2024-05-04T00:00:00"/>
    <x v="144"/>
    <x v="2"/>
    <x v="2"/>
    <n v="4"/>
    <n v="685"/>
    <n v="2740"/>
  </r>
  <r>
    <s v="ORD00898"/>
    <d v="2024-05-28T00:00:00"/>
    <x v="83"/>
    <x v="2"/>
    <x v="2"/>
    <n v="1"/>
    <n v="222"/>
    <n v="222"/>
  </r>
  <r>
    <s v="ORD00899"/>
    <d v="2023-01-15T00:00:00"/>
    <x v="122"/>
    <x v="2"/>
    <x v="0"/>
    <n v="3"/>
    <n v="237"/>
    <n v="711"/>
  </r>
  <r>
    <s v="ORD00900"/>
    <d v="2023-12-27T00:00:00"/>
    <x v="184"/>
    <x v="1"/>
    <x v="1"/>
    <n v="4"/>
    <n v="112"/>
    <n v="448"/>
  </r>
  <r>
    <s v="ORD00901"/>
    <d v="2023-07-09T00:00:00"/>
    <x v="107"/>
    <x v="3"/>
    <x v="3"/>
    <n v="1"/>
    <n v="137"/>
    <n v="137"/>
  </r>
  <r>
    <s v="ORD00902"/>
    <d v="2024-07-22T00:00:00"/>
    <x v="130"/>
    <x v="2"/>
    <x v="0"/>
    <n v="1"/>
    <n v="262"/>
    <n v="262"/>
  </r>
  <r>
    <s v="ORD00903"/>
    <d v="2023-03-29T00:00:00"/>
    <x v="26"/>
    <x v="2"/>
    <x v="3"/>
    <n v="4"/>
    <n v="1012"/>
    <n v="4048"/>
  </r>
  <r>
    <s v="ORD00904"/>
    <d v="2024-06-03T00:00:00"/>
    <x v="38"/>
    <x v="0"/>
    <x v="3"/>
    <n v="3"/>
    <n v="269"/>
    <n v="807"/>
  </r>
  <r>
    <s v="ORD00905"/>
    <d v="2024-03-31T00:00:00"/>
    <x v="265"/>
    <x v="2"/>
    <x v="0"/>
    <n v="5"/>
    <n v="544"/>
    <n v="2720"/>
  </r>
  <r>
    <s v="ORD00906"/>
    <d v="2023-04-22T00:00:00"/>
    <x v="124"/>
    <x v="3"/>
    <x v="2"/>
    <n v="2"/>
    <n v="1190"/>
    <n v="2380"/>
  </r>
  <r>
    <s v="ORD00907"/>
    <d v="2024-08-10T00:00:00"/>
    <x v="214"/>
    <x v="0"/>
    <x v="3"/>
    <n v="2"/>
    <n v="164"/>
    <n v="328"/>
  </r>
  <r>
    <s v="ORD00908"/>
    <d v="2024-10-07T00:00:00"/>
    <x v="180"/>
    <x v="1"/>
    <x v="0"/>
    <n v="5"/>
    <n v="1179"/>
    <n v="5895"/>
  </r>
  <r>
    <s v="ORD00909"/>
    <d v="2023-11-12T00:00:00"/>
    <x v="276"/>
    <x v="1"/>
    <x v="2"/>
    <n v="3"/>
    <n v="806"/>
    <n v="2418"/>
  </r>
  <r>
    <s v="ORD00910"/>
    <d v="2023-11-16T00:00:00"/>
    <x v="180"/>
    <x v="2"/>
    <x v="2"/>
    <n v="4"/>
    <n v="307"/>
    <n v="1228"/>
  </r>
  <r>
    <s v="ORD00911"/>
    <d v="2023-07-05T00:00:00"/>
    <x v="245"/>
    <x v="1"/>
    <x v="2"/>
    <n v="2"/>
    <n v="285"/>
    <n v="570"/>
  </r>
  <r>
    <s v="ORD00912"/>
    <d v="2024-06-25T00:00:00"/>
    <x v="96"/>
    <x v="0"/>
    <x v="1"/>
    <n v="5"/>
    <n v="459"/>
    <n v="2295"/>
  </r>
  <r>
    <s v="ORD00913"/>
    <d v="2024-06-22T00:00:00"/>
    <x v="124"/>
    <x v="1"/>
    <x v="0"/>
    <n v="3"/>
    <n v="924"/>
    <n v="2772"/>
  </r>
  <r>
    <s v="ORD00914"/>
    <d v="2024-02-27T00:00:00"/>
    <x v="220"/>
    <x v="2"/>
    <x v="4"/>
    <n v="4"/>
    <n v="991"/>
    <n v="3964"/>
  </r>
  <r>
    <s v="ORD00915"/>
    <d v="2023-07-15T00:00:00"/>
    <x v="211"/>
    <x v="3"/>
    <x v="2"/>
    <n v="1"/>
    <n v="803"/>
    <n v="803"/>
  </r>
  <r>
    <s v="ORD00916"/>
    <d v="2023-08-27T00:00:00"/>
    <x v="40"/>
    <x v="0"/>
    <x v="3"/>
    <n v="4"/>
    <n v="369"/>
    <n v="1476"/>
  </r>
  <r>
    <s v="ORD00917"/>
    <d v="2024-10-04T00:00:00"/>
    <x v="137"/>
    <x v="0"/>
    <x v="0"/>
    <n v="3"/>
    <n v="682"/>
    <n v="2046"/>
  </r>
  <r>
    <s v="ORD00918"/>
    <d v="2023-04-24T00:00:00"/>
    <x v="126"/>
    <x v="3"/>
    <x v="2"/>
    <n v="5"/>
    <n v="807"/>
    <n v="4035"/>
  </r>
  <r>
    <s v="ORD00919"/>
    <d v="2024-08-04T00:00:00"/>
    <x v="6"/>
    <x v="2"/>
    <x v="1"/>
    <n v="3"/>
    <n v="988"/>
    <n v="2964"/>
  </r>
  <r>
    <s v="ORD00920"/>
    <d v="2023-04-20T00:00:00"/>
    <x v="164"/>
    <x v="1"/>
    <x v="4"/>
    <n v="2"/>
    <n v="442"/>
    <n v="884"/>
  </r>
  <r>
    <s v="ORD00921"/>
    <d v="2024-06-16T00:00:00"/>
    <x v="183"/>
    <x v="3"/>
    <x v="1"/>
    <n v="2"/>
    <n v="315"/>
    <n v="630"/>
  </r>
  <r>
    <s v="ORD00922"/>
    <d v="2024-04-07T00:00:00"/>
    <x v="280"/>
    <x v="2"/>
    <x v="0"/>
    <n v="4"/>
    <n v="888"/>
    <n v="3552"/>
  </r>
  <r>
    <s v="ORD00923"/>
    <d v="2024-04-17T00:00:00"/>
    <x v="213"/>
    <x v="1"/>
    <x v="4"/>
    <n v="4"/>
    <n v="114"/>
    <n v="456"/>
  </r>
  <r>
    <s v="ORD00924"/>
    <d v="2024-06-04T00:00:00"/>
    <x v="6"/>
    <x v="2"/>
    <x v="0"/>
    <n v="4"/>
    <n v="800"/>
    <n v="3200"/>
  </r>
  <r>
    <s v="ORD00925"/>
    <d v="2024-11-09T00:00:00"/>
    <x v="26"/>
    <x v="1"/>
    <x v="0"/>
    <n v="2"/>
    <n v="770"/>
    <n v="1540"/>
  </r>
  <r>
    <s v="ORD00926"/>
    <d v="2024-07-15T00:00:00"/>
    <x v="82"/>
    <x v="0"/>
    <x v="0"/>
    <n v="2"/>
    <n v="716"/>
    <n v="1432"/>
  </r>
  <r>
    <s v="ORD00927"/>
    <d v="2023-09-08T00:00:00"/>
    <x v="10"/>
    <x v="1"/>
    <x v="1"/>
    <n v="3"/>
    <n v="786"/>
    <n v="2358"/>
  </r>
  <r>
    <s v="ORD00928"/>
    <d v="2024-03-25T00:00:00"/>
    <x v="106"/>
    <x v="1"/>
    <x v="4"/>
    <n v="2"/>
    <n v="1027"/>
    <n v="2054"/>
  </r>
  <r>
    <s v="ORD00929"/>
    <d v="2024-08-21T00:00:00"/>
    <x v="113"/>
    <x v="3"/>
    <x v="4"/>
    <n v="4"/>
    <n v="588"/>
    <n v="2352"/>
  </r>
  <r>
    <s v="ORD00930"/>
    <d v="2024-08-22T00:00:00"/>
    <x v="180"/>
    <x v="2"/>
    <x v="1"/>
    <n v="5"/>
    <n v="673"/>
    <n v="3365"/>
  </r>
  <r>
    <s v="ORD00931"/>
    <d v="2023-03-28T00:00:00"/>
    <x v="67"/>
    <x v="0"/>
    <x v="3"/>
    <n v="1"/>
    <n v="362"/>
    <n v="362"/>
  </r>
  <r>
    <s v="ORD00932"/>
    <d v="2024-08-22T00:00:00"/>
    <x v="68"/>
    <x v="1"/>
    <x v="4"/>
    <n v="2"/>
    <n v="235"/>
    <n v="470"/>
  </r>
  <r>
    <s v="ORD00933"/>
    <d v="2024-06-03T00:00:00"/>
    <x v="124"/>
    <x v="3"/>
    <x v="4"/>
    <n v="4"/>
    <n v="994"/>
    <n v="3976"/>
  </r>
  <r>
    <s v="ORD00934"/>
    <d v="2024-02-18T00:00:00"/>
    <x v="286"/>
    <x v="3"/>
    <x v="0"/>
    <n v="3"/>
    <n v="951"/>
    <n v="2853"/>
  </r>
  <r>
    <s v="ORD00935"/>
    <d v="2024-09-11T00:00:00"/>
    <x v="52"/>
    <x v="3"/>
    <x v="4"/>
    <n v="4"/>
    <n v="842"/>
    <n v="3368"/>
  </r>
  <r>
    <s v="ORD00936"/>
    <d v="2023-04-22T00:00:00"/>
    <x v="223"/>
    <x v="0"/>
    <x v="3"/>
    <n v="2"/>
    <n v="790"/>
    <n v="1580"/>
  </r>
  <r>
    <s v="ORD00937"/>
    <d v="2024-05-12T00:00:00"/>
    <x v="31"/>
    <x v="0"/>
    <x v="2"/>
    <n v="4"/>
    <n v="166"/>
    <n v="664"/>
  </r>
  <r>
    <s v="ORD00938"/>
    <d v="2023-11-15T00:00:00"/>
    <x v="235"/>
    <x v="3"/>
    <x v="0"/>
    <n v="5"/>
    <n v="235"/>
    <n v="1175"/>
  </r>
  <r>
    <s v="ORD00939"/>
    <d v="2023-07-14T00:00:00"/>
    <x v="45"/>
    <x v="3"/>
    <x v="4"/>
    <n v="5"/>
    <n v="866"/>
    <n v="4330"/>
  </r>
  <r>
    <s v="ORD00940"/>
    <d v="2024-08-28T00:00:00"/>
    <x v="121"/>
    <x v="0"/>
    <x v="4"/>
    <n v="5"/>
    <n v="430"/>
    <n v="2150"/>
  </r>
  <r>
    <s v="ORD00941"/>
    <d v="2023-11-05T00:00:00"/>
    <x v="157"/>
    <x v="2"/>
    <x v="2"/>
    <n v="5"/>
    <n v="511"/>
    <n v="2555"/>
  </r>
  <r>
    <s v="ORD00942"/>
    <d v="2023-09-23T00:00:00"/>
    <x v="231"/>
    <x v="0"/>
    <x v="1"/>
    <n v="3"/>
    <n v="876"/>
    <n v="2628"/>
  </r>
  <r>
    <s v="ORD00943"/>
    <d v="2024-09-01T00:00:00"/>
    <x v="283"/>
    <x v="1"/>
    <x v="2"/>
    <n v="2"/>
    <n v="660"/>
    <n v="1320"/>
  </r>
  <r>
    <s v="ORD00944"/>
    <d v="2023-01-12T00:00:00"/>
    <x v="259"/>
    <x v="0"/>
    <x v="1"/>
    <n v="3"/>
    <n v="1054"/>
    <n v="3162"/>
  </r>
  <r>
    <s v="ORD00945"/>
    <d v="2023-09-02T00:00:00"/>
    <x v="262"/>
    <x v="1"/>
    <x v="1"/>
    <n v="3"/>
    <n v="627"/>
    <n v="1881"/>
  </r>
  <r>
    <s v="ORD00946"/>
    <d v="2024-01-04T00:00:00"/>
    <x v="44"/>
    <x v="0"/>
    <x v="2"/>
    <n v="3"/>
    <n v="743"/>
    <n v="2229"/>
  </r>
  <r>
    <s v="ORD00947"/>
    <d v="2024-07-25T00:00:00"/>
    <x v="175"/>
    <x v="0"/>
    <x v="3"/>
    <n v="1"/>
    <n v="345"/>
    <n v="345"/>
  </r>
  <r>
    <s v="ORD00948"/>
    <d v="2024-11-14T00:00:00"/>
    <x v="49"/>
    <x v="2"/>
    <x v="4"/>
    <n v="2"/>
    <n v="579"/>
    <n v="1158"/>
  </r>
  <r>
    <s v="ORD00949"/>
    <d v="2024-10-04T00:00:00"/>
    <x v="117"/>
    <x v="3"/>
    <x v="1"/>
    <n v="3"/>
    <n v="496"/>
    <n v="1488"/>
  </r>
  <r>
    <s v="ORD00950"/>
    <d v="2024-07-27T00:00:00"/>
    <x v="246"/>
    <x v="2"/>
    <x v="2"/>
    <n v="5"/>
    <n v="159"/>
    <n v="795"/>
  </r>
  <r>
    <s v="ORD00951"/>
    <d v="2024-11-11T00:00:00"/>
    <x v="218"/>
    <x v="2"/>
    <x v="0"/>
    <n v="4"/>
    <n v="691"/>
    <n v="2764"/>
  </r>
  <r>
    <s v="ORD00952"/>
    <d v="2023-01-04T00:00:00"/>
    <x v="205"/>
    <x v="0"/>
    <x v="1"/>
    <n v="4"/>
    <n v="252"/>
    <n v="1008"/>
  </r>
  <r>
    <s v="ORD00953"/>
    <d v="2023-10-22T00:00:00"/>
    <x v="207"/>
    <x v="0"/>
    <x v="1"/>
    <n v="4"/>
    <n v="1082"/>
    <n v="4328"/>
  </r>
  <r>
    <s v="ORD00954"/>
    <d v="2024-01-27T00:00:00"/>
    <x v="45"/>
    <x v="0"/>
    <x v="1"/>
    <n v="2"/>
    <n v="505"/>
    <n v="1010"/>
  </r>
  <r>
    <s v="ORD00955"/>
    <d v="2023-05-29T00:00:00"/>
    <x v="92"/>
    <x v="1"/>
    <x v="3"/>
    <n v="2"/>
    <n v="331"/>
    <n v="662"/>
  </r>
  <r>
    <s v="ORD00956"/>
    <d v="2024-09-30T00:00:00"/>
    <x v="84"/>
    <x v="2"/>
    <x v="4"/>
    <n v="1"/>
    <n v="1053"/>
    <n v="1053"/>
  </r>
  <r>
    <s v="ORD00957"/>
    <d v="2024-08-22T00:00:00"/>
    <x v="91"/>
    <x v="3"/>
    <x v="0"/>
    <n v="2"/>
    <n v="430"/>
    <n v="860"/>
  </r>
  <r>
    <s v="ORD00958"/>
    <d v="2023-05-01T00:00:00"/>
    <x v="99"/>
    <x v="0"/>
    <x v="1"/>
    <n v="4"/>
    <n v="1062"/>
    <n v="4248"/>
  </r>
  <r>
    <s v="ORD00959"/>
    <d v="2024-01-06T00:00:00"/>
    <x v="39"/>
    <x v="1"/>
    <x v="0"/>
    <n v="4"/>
    <n v="541"/>
    <n v="2164"/>
  </r>
  <r>
    <s v="ORD00960"/>
    <d v="2024-10-10T00:00:00"/>
    <x v="5"/>
    <x v="0"/>
    <x v="3"/>
    <n v="5"/>
    <n v="822"/>
    <n v="4110"/>
  </r>
  <r>
    <s v="ORD00961"/>
    <d v="2023-06-25T00:00:00"/>
    <x v="287"/>
    <x v="2"/>
    <x v="1"/>
    <n v="4"/>
    <n v="1142"/>
    <n v="4568"/>
  </r>
  <r>
    <s v="ORD00962"/>
    <d v="2023-05-09T00:00:00"/>
    <x v="234"/>
    <x v="1"/>
    <x v="4"/>
    <n v="4"/>
    <n v="717"/>
    <n v="2868"/>
  </r>
  <r>
    <s v="ORD00963"/>
    <d v="2023-02-17T00:00:00"/>
    <x v="57"/>
    <x v="3"/>
    <x v="4"/>
    <n v="2"/>
    <n v="1094"/>
    <n v="2188"/>
  </r>
  <r>
    <s v="ORD00964"/>
    <d v="2023-10-17T00:00:00"/>
    <x v="130"/>
    <x v="3"/>
    <x v="0"/>
    <n v="1"/>
    <n v="905"/>
    <n v="905"/>
  </r>
  <r>
    <s v="ORD00965"/>
    <d v="2023-01-16T00:00:00"/>
    <x v="18"/>
    <x v="3"/>
    <x v="3"/>
    <n v="2"/>
    <n v="315"/>
    <n v="630"/>
  </r>
  <r>
    <s v="ORD00966"/>
    <d v="2024-04-20T00:00:00"/>
    <x v="67"/>
    <x v="0"/>
    <x v="0"/>
    <n v="3"/>
    <n v="1168"/>
    <n v="3504"/>
  </r>
  <r>
    <s v="ORD00967"/>
    <d v="2023-12-30T00:00:00"/>
    <x v="182"/>
    <x v="3"/>
    <x v="3"/>
    <n v="2"/>
    <n v="675"/>
    <n v="1350"/>
  </r>
  <r>
    <s v="ORD00968"/>
    <d v="2024-09-09T00:00:00"/>
    <x v="84"/>
    <x v="3"/>
    <x v="2"/>
    <n v="4"/>
    <n v="712"/>
    <n v="2848"/>
  </r>
  <r>
    <s v="ORD00969"/>
    <d v="2024-08-16T00:00:00"/>
    <x v="212"/>
    <x v="0"/>
    <x v="0"/>
    <n v="4"/>
    <n v="919"/>
    <n v="3676"/>
  </r>
  <r>
    <s v="ORD00970"/>
    <d v="2024-10-06T00:00:00"/>
    <x v="238"/>
    <x v="1"/>
    <x v="3"/>
    <n v="3"/>
    <n v="237"/>
    <n v="711"/>
  </r>
  <r>
    <s v="ORD00971"/>
    <d v="2024-05-06T00:00:00"/>
    <x v="150"/>
    <x v="3"/>
    <x v="2"/>
    <n v="3"/>
    <n v="290"/>
    <n v="870"/>
  </r>
  <r>
    <s v="ORD00972"/>
    <d v="2024-07-19T00:00:00"/>
    <x v="215"/>
    <x v="3"/>
    <x v="2"/>
    <n v="2"/>
    <n v="1011"/>
    <n v="2022"/>
  </r>
  <r>
    <s v="ORD00973"/>
    <d v="2024-06-21T00:00:00"/>
    <x v="54"/>
    <x v="1"/>
    <x v="0"/>
    <n v="3"/>
    <n v="178"/>
    <n v="534"/>
  </r>
  <r>
    <s v="ORD00974"/>
    <d v="2023-03-16T00:00:00"/>
    <x v="67"/>
    <x v="3"/>
    <x v="2"/>
    <n v="2"/>
    <n v="696"/>
    <n v="1392"/>
  </r>
  <r>
    <s v="ORD00975"/>
    <d v="2024-06-26T00:00:00"/>
    <x v="244"/>
    <x v="3"/>
    <x v="3"/>
    <n v="1"/>
    <n v="992"/>
    <n v="992"/>
  </r>
  <r>
    <s v="ORD00976"/>
    <d v="2023-05-07T00:00:00"/>
    <x v="172"/>
    <x v="2"/>
    <x v="2"/>
    <n v="3"/>
    <n v="318"/>
    <n v="954"/>
  </r>
  <r>
    <s v="ORD00977"/>
    <d v="2024-05-21T00:00:00"/>
    <x v="5"/>
    <x v="2"/>
    <x v="4"/>
    <n v="3"/>
    <n v="899"/>
    <n v="2697"/>
  </r>
  <r>
    <s v="ORD00978"/>
    <d v="2024-01-13T00:00:00"/>
    <x v="7"/>
    <x v="0"/>
    <x v="1"/>
    <n v="3"/>
    <n v="949"/>
    <n v="2847"/>
  </r>
  <r>
    <s v="ORD00979"/>
    <d v="2024-08-29T00:00:00"/>
    <x v="92"/>
    <x v="2"/>
    <x v="2"/>
    <n v="2"/>
    <n v="282"/>
    <n v="564"/>
  </r>
  <r>
    <s v="ORD00980"/>
    <d v="2024-08-20T00:00:00"/>
    <x v="136"/>
    <x v="2"/>
    <x v="4"/>
    <n v="1"/>
    <n v="497"/>
    <n v="497"/>
  </r>
  <r>
    <s v="ORD00981"/>
    <d v="2024-05-26T00:00:00"/>
    <x v="228"/>
    <x v="3"/>
    <x v="4"/>
    <n v="5"/>
    <n v="212"/>
    <n v="1060"/>
  </r>
  <r>
    <s v="ORD00982"/>
    <d v="2023-02-07T00:00:00"/>
    <x v="39"/>
    <x v="2"/>
    <x v="4"/>
    <n v="4"/>
    <n v="900"/>
    <n v="3600"/>
  </r>
  <r>
    <s v="ORD00983"/>
    <d v="2023-11-25T00:00:00"/>
    <x v="238"/>
    <x v="2"/>
    <x v="1"/>
    <n v="3"/>
    <n v="860"/>
    <n v="2580"/>
  </r>
  <r>
    <s v="ORD00984"/>
    <d v="2024-01-15T00:00:00"/>
    <x v="116"/>
    <x v="1"/>
    <x v="1"/>
    <n v="2"/>
    <n v="380"/>
    <n v="760"/>
  </r>
  <r>
    <s v="ORD00985"/>
    <d v="2023-08-30T00:00:00"/>
    <x v="221"/>
    <x v="2"/>
    <x v="4"/>
    <n v="5"/>
    <n v="274"/>
    <n v="1370"/>
  </r>
  <r>
    <s v="ORD00986"/>
    <d v="2024-03-22T00:00:00"/>
    <x v="58"/>
    <x v="1"/>
    <x v="0"/>
    <n v="4"/>
    <n v="452"/>
    <n v="1808"/>
  </r>
  <r>
    <s v="ORD00987"/>
    <d v="2023-01-20T00:00:00"/>
    <x v="155"/>
    <x v="3"/>
    <x v="0"/>
    <n v="3"/>
    <n v="1125"/>
    <n v="3375"/>
  </r>
  <r>
    <s v="ORD00988"/>
    <d v="2024-09-26T00:00:00"/>
    <x v="221"/>
    <x v="0"/>
    <x v="0"/>
    <n v="2"/>
    <n v="843"/>
    <n v="1686"/>
  </r>
  <r>
    <s v="ORD00989"/>
    <d v="2023-03-01T00:00:00"/>
    <x v="288"/>
    <x v="2"/>
    <x v="3"/>
    <n v="1"/>
    <n v="562"/>
    <n v="562"/>
  </r>
  <r>
    <s v="ORD00990"/>
    <d v="2024-01-29T00:00:00"/>
    <x v="98"/>
    <x v="0"/>
    <x v="2"/>
    <n v="4"/>
    <n v="697"/>
    <n v="2788"/>
  </r>
  <r>
    <s v="ORD00991"/>
    <d v="2024-03-16T00:00:00"/>
    <x v="280"/>
    <x v="1"/>
    <x v="1"/>
    <n v="5"/>
    <n v="467"/>
    <n v="2335"/>
  </r>
  <r>
    <s v="ORD00992"/>
    <d v="2023-06-13T00:00:00"/>
    <x v="92"/>
    <x v="3"/>
    <x v="1"/>
    <n v="5"/>
    <n v="794"/>
    <n v="3970"/>
  </r>
  <r>
    <s v="ORD00993"/>
    <d v="2023-03-28T00:00:00"/>
    <x v="31"/>
    <x v="2"/>
    <x v="2"/>
    <n v="2"/>
    <n v="393"/>
    <n v="786"/>
  </r>
  <r>
    <s v="ORD00994"/>
    <d v="2024-08-17T00:00:00"/>
    <x v="50"/>
    <x v="1"/>
    <x v="0"/>
    <n v="3"/>
    <n v="858"/>
    <n v="2574"/>
  </r>
  <r>
    <s v="ORD00995"/>
    <d v="2024-09-03T00:00:00"/>
    <x v="16"/>
    <x v="1"/>
    <x v="1"/>
    <n v="4"/>
    <n v="964"/>
    <n v="3856"/>
  </r>
  <r>
    <s v="ORD00996"/>
    <d v="2024-03-03T00:00:00"/>
    <x v="6"/>
    <x v="1"/>
    <x v="0"/>
    <n v="3"/>
    <n v="756"/>
    <n v="2268"/>
  </r>
  <r>
    <s v="ORD00997"/>
    <d v="2023-01-17T00:00:00"/>
    <x v="235"/>
    <x v="1"/>
    <x v="1"/>
    <n v="5"/>
    <n v="790"/>
    <n v="3950"/>
  </r>
  <r>
    <s v="ORD00998"/>
    <d v="2023-05-06T00:00:00"/>
    <x v="140"/>
    <x v="0"/>
    <x v="1"/>
    <n v="4"/>
    <n v="363"/>
    <n v="1452"/>
  </r>
  <r>
    <s v="ORD00999"/>
    <d v="2023-09-07T00:00:00"/>
    <x v="63"/>
    <x v="1"/>
    <x v="0"/>
    <n v="5"/>
    <n v="258"/>
    <n v="1290"/>
  </r>
  <r>
    <s v="ORD01000"/>
    <d v="2023-03-20T00:00:00"/>
    <x v="282"/>
    <x v="2"/>
    <x v="2"/>
    <n v="2"/>
    <n v="557"/>
    <n v="1114"/>
  </r>
  <r>
    <s v="ORD01001"/>
    <d v="2023-05-13T00:00:00"/>
    <x v="37"/>
    <x v="0"/>
    <x v="3"/>
    <n v="3"/>
    <n v="959"/>
    <n v="2877"/>
  </r>
  <r>
    <s v="ORD01002"/>
    <d v="2024-08-16T00:00:00"/>
    <x v="224"/>
    <x v="1"/>
    <x v="1"/>
    <n v="2"/>
    <n v="994"/>
    <n v="1988"/>
  </r>
  <r>
    <s v="ORD01003"/>
    <d v="2023-08-11T00:00:00"/>
    <x v="261"/>
    <x v="1"/>
    <x v="0"/>
    <n v="3"/>
    <n v="933"/>
    <n v="2799"/>
  </r>
  <r>
    <s v="ORD01004"/>
    <d v="2023-03-20T00:00:00"/>
    <x v="56"/>
    <x v="3"/>
    <x v="1"/>
    <n v="2"/>
    <n v="821"/>
    <n v="1642"/>
  </r>
  <r>
    <s v="ORD01005"/>
    <d v="2024-07-02T00:00:00"/>
    <x v="248"/>
    <x v="3"/>
    <x v="4"/>
    <n v="2"/>
    <n v="253"/>
    <n v="506"/>
  </r>
  <r>
    <s v="ORD01006"/>
    <d v="2023-02-15T00:00:00"/>
    <x v="279"/>
    <x v="1"/>
    <x v="1"/>
    <n v="4"/>
    <n v="1089"/>
    <n v="4356"/>
  </r>
  <r>
    <s v="ORD01007"/>
    <d v="2024-01-30T00:00:00"/>
    <x v="89"/>
    <x v="3"/>
    <x v="2"/>
    <n v="4"/>
    <n v="1005"/>
    <n v="4020"/>
  </r>
  <r>
    <s v="ORD01008"/>
    <d v="2023-07-09T00:00:00"/>
    <x v="80"/>
    <x v="0"/>
    <x v="1"/>
    <n v="2"/>
    <n v="514"/>
    <n v="1028"/>
  </r>
  <r>
    <s v="ORD01009"/>
    <d v="2024-07-22T00:00:00"/>
    <x v="44"/>
    <x v="0"/>
    <x v="3"/>
    <n v="5"/>
    <n v="210"/>
    <n v="1050"/>
  </r>
  <r>
    <s v="ORD01010"/>
    <d v="2024-02-03T00:00:00"/>
    <x v="16"/>
    <x v="1"/>
    <x v="3"/>
    <n v="5"/>
    <n v="1181"/>
    <n v="5905"/>
  </r>
  <r>
    <s v="ORD01011"/>
    <d v="2023-06-24T00:00:00"/>
    <x v="42"/>
    <x v="1"/>
    <x v="0"/>
    <n v="1"/>
    <n v="743"/>
    <n v="743"/>
  </r>
  <r>
    <s v="ORD01012"/>
    <d v="2023-03-17T00:00:00"/>
    <x v="187"/>
    <x v="2"/>
    <x v="3"/>
    <n v="5"/>
    <n v="453"/>
    <n v="2265"/>
  </r>
  <r>
    <s v="ORD01013"/>
    <d v="2024-10-02T00:00:00"/>
    <x v="289"/>
    <x v="2"/>
    <x v="2"/>
    <n v="2"/>
    <n v="653"/>
    <n v="1306"/>
  </r>
  <r>
    <s v="ORD01014"/>
    <d v="2024-11-25T00:00:00"/>
    <x v="214"/>
    <x v="1"/>
    <x v="1"/>
    <n v="4"/>
    <n v="863"/>
    <n v="3452"/>
  </r>
  <r>
    <s v="ORD01015"/>
    <d v="2024-01-15T00:00:00"/>
    <x v="69"/>
    <x v="1"/>
    <x v="2"/>
    <n v="2"/>
    <n v="105"/>
    <n v="210"/>
  </r>
  <r>
    <s v="ORD01016"/>
    <d v="2023-09-20T00:00:00"/>
    <x v="4"/>
    <x v="3"/>
    <x v="4"/>
    <n v="4"/>
    <n v="154"/>
    <n v="616"/>
  </r>
  <r>
    <s v="ORD01017"/>
    <d v="2024-10-16T00:00:00"/>
    <x v="249"/>
    <x v="2"/>
    <x v="2"/>
    <n v="4"/>
    <n v="737"/>
    <n v="2948"/>
  </r>
  <r>
    <s v="ORD01018"/>
    <d v="2024-03-02T00:00:00"/>
    <x v="114"/>
    <x v="3"/>
    <x v="3"/>
    <n v="3"/>
    <n v="1197"/>
    <n v="3591"/>
  </r>
  <r>
    <s v="ORD01019"/>
    <d v="2024-10-29T00:00:00"/>
    <x v="86"/>
    <x v="2"/>
    <x v="2"/>
    <n v="4"/>
    <n v="166"/>
    <n v="664"/>
  </r>
  <r>
    <s v="ORD01020"/>
    <d v="2023-05-27T00:00:00"/>
    <x v="87"/>
    <x v="2"/>
    <x v="3"/>
    <n v="4"/>
    <n v="316"/>
    <n v="1264"/>
  </r>
  <r>
    <s v="ORD01021"/>
    <d v="2024-02-24T00:00:00"/>
    <x v="212"/>
    <x v="1"/>
    <x v="2"/>
    <n v="2"/>
    <n v="451"/>
    <n v="902"/>
  </r>
  <r>
    <s v="ORD01022"/>
    <d v="2023-08-26T00:00:00"/>
    <x v="149"/>
    <x v="2"/>
    <x v="4"/>
    <n v="4"/>
    <n v="418"/>
    <n v="1672"/>
  </r>
  <r>
    <s v="ORD01023"/>
    <d v="2024-03-09T00:00:00"/>
    <x v="112"/>
    <x v="3"/>
    <x v="2"/>
    <n v="4"/>
    <n v="263"/>
    <n v="1052"/>
  </r>
  <r>
    <s v="ORD01024"/>
    <d v="2024-08-16T00:00:00"/>
    <x v="52"/>
    <x v="2"/>
    <x v="3"/>
    <n v="2"/>
    <n v="1087"/>
    <n v="2174"/>
  </r>
  <r>
    <s v="ORD01025"/>
    <d v="2024-08-07T00:00:00"/>
    <x v="50"/>
    <x v="1"/>
    <x v="3"/>
    <n v="1"/>
    <n v="810"/>
    <n v="810"/>
  </r>
  <r>
    <s v="ORD01026"/>
    <d v="2024-08-23T00:00:00"/>
    <x v="151"/>
    <x v="2"/>
    <x v="3"/>
    <n v="5"/>
    <n v="845"/>
    <n v="4225"/>
  </r>
  <r>
    <s v="ORD01027"/>
    <d v="2023-07-10T00:00:00"/>
    <x v="169"/>
    <x v="1"/>
    <x v="2"/>
    <n v="1"/>
    <n v="226"/>
    <n v="226"/>
  </r>
  <r>
    <s v="ORD01028"/>
    <d v="2023-01-04T00:00:00"/>
    <x v="265"/>
    <x v="0"/>
    <x v="3"/>
    <n v="3"/>
    <n v="348"/>
    <n v="1044"/>
  </r>
  <r>
    <s v="ORD01029"/>
    <d v="2023-10-17T00:00:00"/>
    <x v="132"/>
    <x v="0"/>
    <x v="0"/>
    <n v="4"/>
    <n v="636"/>
    <n v="2544"/>
  </r>
  <r>
    <s v="ORD01030"/>
    <d v="2024-08-29T00:00:00"/>
    <x v="169"/>
    <x v="3"/>
    <x v="3"/>
    <n v="4"/>
    <n v="742"/>
    <n v="2968"/>
  </r>
  <r>
    <s v="ORD01031"/>
    <d v="2024-10-30T00:00:00"/>
    <x v="57"/>
    <x v="0"/>
    <x v="1"/>
    <n v="3"/>
    <n v="965"/>
    <n v="2895"/>
  </r>
  <r>
    <s v="ORD01032"/>
    <d v="2023-12-23T00:00:00"/>
    <x v="104"/>
    <x v="0"/>
    <x v="2"/>
    <n v="4"/>
    <n v="270"/>
    <n v="1080"/>
  </r>
  <r>
    <s v="ORD01033"/>
    <d v="2023-09-07T00:00:00"/>
    <x v="127"/>
    <x v="0"/>
    <x v="2"/>
    <n v="3"/>
    <n v="303"/>
    <n v="909"/>
  </r>
  <r>
    <s v="ORD01034"/>
    <d v="2024-03-18T00:00:00"/>
    <x v="181"/>
    <x v="1"/>
    <x v="4"/>
    <n v="3"/>
    <n v="899"/>
    <n v="2697"/>
  </r>
  <r>
    <s v="ORD01035"/>
    <d v="2023-07-15T00:00:00"/>
    <x v="253"/>
    <x v="0"/>
    <x v="3"/>
    <n v="4"/>
    <n v="793"/>
    <n v="3172"/>
  </r>
  <r>
    <s v="ORD01036"/>
    <d v="2024-04-21T00:00:00"/>
    <x v="117"/>
    <x v="3"/>
    <x v="0"/>
    <n v="5"/>
    <n v="1077"/>
    <n v="5385"/>
  </r>
  <r>
    <s v="ORD01037"/>
    <d v="2024-04-08T00:00:00"/>
    <x v="55"/>
    <x v="0"/>
    <x v="1"/>
    <n v="1"/>
    <n v="556"/>
    <n v="556"/>
  </r>
  <r>
    <s v="ORD01038"/>
    <d v="2023-08-27T00:00:00"/>
    <x v="132"/>
    <x v="0"/>
    <x v="4"/>
    <n v="2"/>
    <n v="832"/>
    <n v="1664"/>
  </r>
  <r>
    <s v="ORD01039"/>
    <d v="2023-07-16T00:00:00"/>
    <x v="78"/>
    <x v="2"/>
    <x v="3"/>
    <n v="5"/>
    <n v="521"/>
    <n v="2605"/>
  </r>
  <r>
    <s v="ORD01040"/>
    <d v="2024-02-16T00:00:00"/>
    <x v="290"/>
    <x v="3"/>
    <x v="2"/>
    <n v="2"/>
    <n v="1036"/>
    <n v="2072"/>
  </r>
  <r>
    <s v="ORD01041"/>
    <d v="2023-04-13T00:00:00"/>
    <x v="251"/>
    <x v="1"/>
    <x v="2"/>
    <n v="5"/>
    <n v="909"/>
    <n v="4545"/>
  </r>
  <r>
    <s v="ORD01042"/>
    <d v="2024-11-01T00:00:00"/>
    <x v="135"/>
    <x v="1"/>
    <x v="1"/>
    <n v="4"/>
    <n v="174"/>
    <n v="696"/>
  </r>
  <r>
    <s v="ORD01043"/>
    <d v="2023-06-30T00:00:00"/>
    <x v="13"/>
    <x v="0"/>
    <x v="1"/>
    <n v="4"/>
    <n v="452"/>
    <n v="1808"/>
  </r>
  <r>
    <s v="ORD01044"/>
    <d v="2023-07-10T00:00:00"/>
    <x v="105"/>
    <x v="3"/>
    <x v="2"/>
    <n v="1"/>
    <n v="154"/>
    <n v="154"/>
  </r>
  <r>
    <s v="ORD01045"/>
    <d v="2023-04-05T00:00:00"/>
    <x v="246"/>
    <x v="0"/>
    <x v="2"/>
    <n v="3"/>
    <n v="367"/>
    <n v="1101"/>
  </r>
  <r>
    <s v="ORD01046"/>
    <d v="2024-01-11T00:00:00"/>
    <x v="155"/>
    <x v="2"/>
    <x v="2"/>
    <n v="3"/>
    <n v="1166"/>
    <n v="3498"/>
  </r>
  <r>
    <s v="ORD01047"/>
    <d v="2024-03-07T00:00:00"/>
    <x v="214"/>
    <x v="3"/>
    <x v="0"/>
    <n v="4"/>
    <n v="1116"/>
    <n v="4464"/>
  </r>
  <r>
    <s v="ORD01048"/>
    <d v="2023-01-11T00:00:00"/>
    <x v="233"/>
    <x v="1"/>
    <x v="1"/>
    <n v="3"/>
    <n v="706"/>
    <n v="2118"/>
  </r>
  <r>
    <s v="ORD01049"/>
    <d v="2024-11-19T00:00:00"/>
    <x v="291"/>
    <x v="3"/>
    <x v="4"/>
    <n v="3"/>
    <n v="572"/>
    <n v="1716"/>
  </r>
  <r>
    <s v="ORD01050"/>
    <d v="2024-07-12T00:00:00"/>
    <x v="1"/>
    <x v="2"/>
    <x v="3"/>
    <n v="2"/>
    <n v="199"/>
    <n v="398"/>
  </r>
  <r>
    <s v="ORD01051"/>
    <d v="2024-04-15T00:00:00"/>
    <x v="245"/>
    <x v="0"/>
    <x v="4"/>
    <n v="3"/>
    <n v="579"/>
    <n v="1737"/>
  </r>
  <r>
    <s v="ORD01052"/>
    <d v="2024-09-05T00:00:00"/>
    <x v="42"/>
    <x v="1"/>
    <x v="0"/>
    <n v="3"/>
    <n v="693"/>
    <n v="2079"/>
  </r>
  <r>
    <s v="ORD01053"/>
    <d v="2024-04-14T00:00:00"/>
    <x v="230"/>
    <x v="2"/>
    <x v="0"/>
    <n v="2"/>
    <n v="494"/>
    <n v="988"/>
  </r>
  <r>
    <s v="ORD01054"/>
    <d v="2023-09-05T00:00:00"/>
    <x v="16"/>
    <x v="0"/>
    <x v="4"/>
    <n v="4"/>
    <n v="709"/>
    <n v="2836"/>
  </r>
  <r>
    <s v="ORD01055"/>
    <d v="2023-11-01T00:00:00"/>
    <x v="55"/>
    <x v="1"/>
    <x v="0"/>
    <n v="5"/>
    <n v="443"/>
    <n v="2215"/>
  </r>
  <r>
    <s v="ORD01056"/>
    <d v="2023-10-28T00:00:00"/>
    <x v="280"/>
    <x v="1"/>
    <x v="2"/>
    <n v="3"/>
    <n v="1129"/>
    <n v="3387"/>
  </r>
  <r>
    <s v="ORD01057"/>
    <d v="2023-08-27T00:00:00"/>
    <x v="4"/>
    <x v="2"/>
    <x v="2"/>
    <n v="3"/>
    <n v="975"/>
    <n v="2925"/>
  </r>
  <r>
    <s v="ORD01058"/>
    <d v="2023-12-02T00:00:00"/>
    <x v="136"/>
    <x v="0"/>
    <x v="4"/>
    <n v="3"/>
    <n v="325"/>
    <n v="975"/>
  </r>
  <r>
    <s v="ORD01059"/>
    <d v="2023-11-08T00:00:00"/>
    <x v="58"/>
    <x v="1"/>
    <x v="4"/>
    <n v="2"/>
    <n v="163"/>
    <n v="326"/>
  </r>
  <r>
    <s v="ORD01060"/>
    <d v="2024-10-19T00:00:00"/>
    <x v="221"/>
    <x v="1"/>
    <x v="1"/>
    <n v="4"/>
    <n v="1075"/>
    <n v="4300"/>
  </r>
  <r>
    <s v="ORD01061"/>
    <d v="2024-03-10T00:00:00"/>
    <x v="170"/>
    <x v="2"/>
    <x v="3"/>
    <n v="1"/>
    <n v="867"/>
    <n v="867"/>
  </r>
  <r>
    <s v="ORD01062"/>
    <d v="2024-05-18T00:00:00"/>
    <x v="154"/>
    <x v="1"/>
    <x v="0"/>
    <n v="2"/>
    <n v="1036"/>
    <n v="2072"/>
  </r>
  <r>
    <s v="ORD01063"/>
    <d v="2024-02-19T00:00:00"/>
    <x v="150"/>
    <x v="3"/>
    <x v="2"/>
    <n v="4"/>
    <n v="831"/>
    <n v="3324"/>
  </r>
  <r>
    <s v="ORD01064"/>
    <d v="2024-07-02T00:00:00"/>
    <x v="120"/>
    <x v="0"/>
    <x v="3"/>
    <n v="3"/>
    <n v="1014"/>
    <n v="3042"/>
  </r>
  <r>
    <s v="ORD01065"/>
    <d v="2024-01-15T00:00:00"/>
    <x v="134"/>
    <x v="2"/>
    <x v="3"/>
    <n v="5"/>
    <n v="102"/>
    <n v="510"/>
  </r>
  <r>
    <s v="ORD01066"/>
    <d v="2024-02-10T00:00:00"/>
    <x v="155"/>
    <x v="0"/>
    <x v="3"/>
    <n v="2"/>
    <n v="424"/>
    <n v="848"/>
  </r>
  <r>
    <s v="ORD01067"/>
    <d v="2023-12-25T00:00:00"/>
    <x v="291"/>
    <x v="3"/>
    <x v="2"/>
    <n v="4"/>
    <n v="629"/>
    <n v="2516"/>
  </r>
  <r>
    <s v="ORD01068"/>
    <d v="2023-08-27T00:00:00"/>
    <x v="163"/>
    <x v="0"/>
    <x v="2"/>
    <n v="3"/>
    <n v="195"/>
    <n v="585"/>
  </r>
  <r>
    <s v="ORD01069"/>
    <d v="2024-09-25T00:00:00"/>
    <x v="223"/>
    <x v="3"/>
    <x v="2"/>
    <n v="5"/>
    <n v="1031"/>
    <n v="5155"/>
  </r>
  <r>
    <s v="ORD01070"/>
    <d v="2024-10-05T00:00:00"/>
    <x v="215"/>
    <x v="2"/>
    <x v="3"/>
    <n v="2"/>
    <n v="814"/>
    <n v="1628"/>
  </r>
  <r>
    <s v="ORD01071"/>
    <d v="2023-08-01T00:00:00"/>
    <x v="148"/>
    <x v="2"/>
    <x v="3"/>
    <n v="3"/>
    <n v="998"/>
    <n v="2994"/>
  </r>
  <r>
    <s v="ORD01072"/>
    <d v="2023-10-16T00:00:00"/>
    <x v="117"/>
    <x v="2"/>
    <x v="2"/>
    <n v="2"/>
    <n v="167"/>
    <n v="334"/>
  </r>
  <r>
    <s v="ORD01073"/>
    <d v="2023-12-28T00:00:00"/>
    <x v="181"/>
    <x v="0"/>
    <x v="3"/>
    <n v="4"/>
    <n v="889"/>
    <n v="3556"/>
  </r>
  <r>
    <s v="ORD01074"/>
    <d v="2023-10-01T00:00:00"/>
    <x v="58"/>
    <x v="0"/>
    <x v="0"/>
    <n v="1"/>
    <n v="233"/>
    <n v="233"/>
  </r>
  <r>
    <s v="ORD01075"/>
    <d v="2023-10-12T00:00:00"/>
    <x v="291"/>
    <x v="2"/>
    <x v="2"/>
    <n v="3"/>
    <n v="416"/>
    <n v="1248"/>
  </r>
  <r>
    <s v="ORD01076"/>
    <d v="2024-02-13T00:00:00"/>
    <x v="39"/>
    <x v="0"/>
    <x v="2"/>
    <n v="5"/>
    <n v="1174"/>
    <n v="5870"/>
  </r>
  <r>
    <s v="ORD01077"/>
    <d v="2024-02-07T00:00:00"/>
    <x v="186"/>
    <x v="0"/>
    <x v="4"/>
    <n v="4"/>
    <n v="1097"/>
    <n v="4388"/>
  </r>
  <r>
    <s v="ORD01078"/>
    <d v="2023-12-16T00:00:00"/>
    <x v="181"/>
    <x v="1"/>
    <x v="0"/>
    <n v="5"/>
    <n v="190"/>
    <n v="950"/>
  </r>
  <r>
    <s v="ORD01079"/>
    <d v="2024-07-30T00:00:00"/>
    <x v="118"/>
    <x v="3"/>
    <x v="1"/>
    <n v="5"/>
    <n v="966"/>
    <n v="4830"/>
  </r>
  <r>
    <s v="ORD01080"/>
    <d v="2024-08-13T00:00:00"/>
    <x v="109"/>
    <x v="2"/>
    <x v="4"/>
    <n v="4"/>
    <n v="236"/>
    <n v="944"/>
  </r>
  <r>
    <s v="ORD01081"/>
    <d v="2024-03-30T00:00:00"/>
    <x v="120"/>
    <x v="2"/>
    <x v="3"/>
    <n v="5"/>
    <n v="868"/>
    <n v="4340"/>
  </r>
  <r>
    <s v="ORD01082"/>
    <d v="2023-12-05T00:00:00"/>
    <x v="152"/>
    <x v="3"/>
    <x v="1"/>
    <n v="4"/>
    <n v="1166"/>
    <n v="4664"/>
  </r>
  <r>
    <s v="ORD01083"/>
    <d v="2024-05-29T00:00:00"/>
    <x v="87"/>
    <x v="3"/>
    <x v="1"/>
    <n v="1"/>
    <n v="632"/>
    <n v="632"/>
  </r>
  <r>
    <s v="ORD01084"/>
    <d v="2024-04-28T00:00:00"/>
    <x v="137"/>
    <x v="1"/>
    <x v="4"/>
    <n v="1"/>
    <n v="195"/>
    <n v="195"/>
  </r>
  <r>
    <s v="ORD01085"/>
    <d v="2023-05-09T00:00:00"/>
    <x v="164"/>
    <x v="2"/>
    <x v="0"/>
    <n v="3"/>
    <n v="1192"/>
    <n v="3576"/>
  </r>
  <r>
    <s v="ORD01086"/>
    <d v="2023-08-03T00:00:00"/>
    <x v="292"/>
    <x v="0"/>
    <x v="4"/>
    <n v="2"/>
    <n v="454"/>
    <n v="908"/>
  </r>
  <r>
    <s v="ORD01087"/>
    <d v="2023-12-04T00:00:00"/>
    <x v="140"/>
    <x v="2"/>
    <x v="1"/>
    <n v="3"/>
    <n v="1100"/>
    <n v="3300"/>
  </r>
  <r>
    <s v="ORD01088"/>
    <d v="2023-12-12T00:00:00"/>
    <x v="132"/>
    <x v="0"/>
    <x v="1"/>
    <n v="1"/>
    <n v="337"/>
    <n v="337"/>
  </r>
  <r>
    <s v="ORD01089"/>
    <d v="2023-11-21T00:00:00"/>
    <x v="110"/>
    <x v="2"/>
    <x v="4"/>
    <n v="4"/>
    <n v="583"/>
    <n v="2332"/>
  </r>
  <r>
    <s v="ORD01090"/>
    <d v="2023-02-13T00:00:00"/>
    <x v="127"/>
    <x v="3"/>
    <x v="4"/>
    <n v="2"/>
    <n v="303"/>
    <n v="606"/>
  </r>
  <r>
    <s v="ORD01091"/>
    <d v="2023-08-20T00:00:00"/>
    <x v="180"/>
    <x v="3"/>
    <x v="4"/>
    <n v="1"/>
    <n v="521"/>
    <n v="521"/>
  </r>
  <r>
    <s v="ORD01092"/>
    <d v="2023-11-29T00:00:00"/>
    <x v="101"/>
    <x v="3"/>
    <x v="4"/>
    <n v="2"/>
    <n v="402"/>
    <n v="804"/>
  </r>
  <r>
    <s v="ORD01093"/>
    <d v="2023-02-16T00:00:00"/>
    <x v="244"/>
    <x v="3"/>
    <x v="1"/>
    <n v="5"/>
    <n v="477"/>
    <n v="2385"/>
  </r>
  <r>
    <s v="ORD01094"/>
    <d v="2023-06-08T00:00:00"/>
    <x v="56"/>
    <x v="2"/>
    <x v="4"/>
    <n v="2"/>
    <n v="377"/>
    <n v="754"/>
  </r>
  <r>
    <s v="ORD01095"/>
    <d v="2023-03-24T00:00:00"/>
    <x v="162"/>
    <x v="1"/>
    <x v="4"/>
    <n v="3"/>
    <n v="468"/>
    <n v="1404"/>
  </r>
  <r>
    <s v="ORD01096"/>
    <d v="2023-05-21T00:00:00"/>
    <x v="216"/>
    <x v="0"/>
    <x v="2"/>
    <n v="2"/>
    <n v="433"/>
    <n v="866"/>
  </r>
  <r>
    <s v="ORD01097"/>
    <d v="2024-05-02T00:00:00"/>
    <x v="133"/>
    <x v="1"/>
    <x v="4"/>
    <n v="4"/>
    <n v="579"/>
    <n v="2316"/>
  </r>
  <r>
    <s v="ORD01098"/>
    <d v="2024-02-09T00:00:00"/>
    <x v="117"/>
    <x v="1"/>
    <x v="0"/>
    <n v="5"/>
    <n v="1070"/>
    <n v="5350"/>
  </r>
  <r>
    <s v="ORD01099"/>
    <d v="2023-07-20T00:00:00"/>
    <x v="174"/>
    <x v="1"/>
    <x v="4"/>
    <n v="1"/>
    <n v="457"/>
    <n v="457"/>
  </r>
  <r>
    <s v="ORD01100"/>
    <d v="2024-01-15T00:00:00"/>
    <x v="187"/>
    <x v="1"/>
    <x v="0"/>
    <n v="1"/>
    <n v="727"/>
    <n v="727"/>
  </r>
  <r>
    <s v="ORD01101"/>
    <d v="2023-11-07T00:00:00"/>
    <x v="78"/>
    <x v="0"/>
    <x v="2"/>
    <n v="1"/>
    <n v="548"/>
    <n v="548"/>
  </r>
  <r>
    <s v="ORD01102"/>
    <d v="2024-05-26T00:00:00"/>
    <x v="267"/>
    <x v="3"/>
    <x v="3"/>
    <n v="2"/>
    <n v="658"/>
    <n v="1316"/>
  </r>
  <r>
    <s v="ORD01103"/>
    <d v="2023-03-08T00:00:00"/>
    <x v="232"/>
    <x v="2"/>
    <x v="4"/>
    <n v="5"/>
    <n v="1197"/>
    <n v="5985"/>
  </r>
  <r>
    <s v="ORD01104"/>
    <d v="2024-07-05T00:00:00"/>
    <x v="29"/>
    <x v="3"/>
    <x v="3"/>
    <n v="5"/>
    <n v="260"/>
    <n v="1300"/>
  </r>
  <r>
    <s v="ORD01105"/>
    <d v="2024-02-11T00:00:00"/>
    <x v="105"/>
    <x v="0"/>
    <x v="2"/>
    <n v="2"/>
    <n v="773"/>
    <n v="1546"/>
  </r>
  <r>
    <s v="ORD01106"/>
    <d v="2023-06-04T00:00:00"/>
    <x v="240"/>
    <x v="0"/>
    <x v="3"/>
    <n v="5"/>
    <n v="700"/>
    <n v="3500"/>
  </r>
  <r>
    <s v="ORD01107"/>
    <d v="2024-02-16T00:00:00"/>
    <x v="215"/>
    <x v="0"/>
    <x v="0"/>
    <n v="2"/>
    <n v="433"/>
    <n v="866"/>
  </r>
  <r>
    <s v="ORD01108"/>
    <d v="2023-10-11T00:00:00"/>
    <x v="103"/>
    <x v="0"/>
    <x v="3"/>
    <n v="1"/>
    <n v="753"/>
    <n v="753"/>
  </r>
  <r>
    <s v="ORD01109"/>
    <d v="2024-08-27T00:00:00"/>
    <x v="135"/>
    <x v="0"/>
    <x v="3"/>
    <n v="5"/>
    <n v="629"/>
    <n v="3145"/>
  </r>
  <r>
    <s v="ORD01110"/>
    <d v="2023-06-13T00:00:00"/>
    <x v="126"/>
    <x v="0"/>
    <x v="3"/>
    <n v="2"/>
    <n v="716"/>
    <n v="1432"/>
  </r>
  <r>
    <s v="ORD01111"/>
    <d v="2023-08-12T00:00:00"/>
    <x v="133"/>
    <x v="0"/>
    <x v="3"/>
    <n v="4"/>
    <n v="258"/>
    <n v="1032"/>
  </r>
  <r>
    <s v="ORD01112"/>
    <d v="2024-01-12T00:00:00"/>
    <x v="225"/>
    <x v="1"/>
    <x v="2"/>
    <n v="3"/>
    <n v="473"/>
    <n v="1419"/>
  </r>
  <r>
    <s v="ORD01113"/>
    <d v="2024-09-26T00:00:00"/>
    <x v="156"/>
    <x v="0"/>
    <x v="3"/>
    <n v="1"/>
    <n v="693"/>
    <n v="693"/>
  </r>
  <r>
    <s v="ORD01114"/>
    <d v="2024-04-09T00:00:00"/>
    <x v="66"/>
    <x v="0"/>
    <x v="2"/>
    <n v="4"/>
    <n v="826"/>
    <n v="3304"/>
  </r>
  <r>
    <s v="ORD01115"/>
    <d v="2023-08-09T00:00:00"/>
    <x v="161"/>
    <x v="1"/>
    <x v="0"/>
    <n v="5"/>
    <n v="626"/>
    <n v="3130"/>
  </r>
  <r>
    <s v="ORD01116"/>
    <d v="2023-11-08T00:00:00"/>
    <x v="293"/>
    <x v="1"/>
    <x v="1"/>
    <n v="2"/>
    <n v="914"/>
    <n v="1828"/>
  </r>
  <r>
    <s v="ORD01117"/>
    <d v="2023-12-02T00:00:00"/>
    <x v="69"/>
    <x v="1"/>
    <x v="4"/>
    <n v="4"/>
    <n v="477"/>
    <n v="1908"/>
  </r>
  <r>
    <s v="ORD01118"/>
    <d v="2023-02-13T00:00:00"/>
    <x v="291"/>
    <x v="0"/>
    <x v="2"/>
    <n v="3"/>
    <n v="1055"/>
    <n v="3165"/>
  </r>
  <r>
    <s v="ORD01119"/>
    <d v="2023-03-08T00:00:00"/>
    <x v="90"/>
    <x v="0"/>
    <x v="4"/>
    <n v="4"/>
    <n v="290"/>
    <n v="1160"/>
  </r>
  <r>
    <s v="ORD01120"/>
    <d v="2024-11-09T00:00:00"/>
    <x v="294"/>
    <x v="1"/>
    <x v="4"/>
    <n v="2"/>
    <n v="580"/>
    <n v="1160"/>
  </r>
  <r>
    <s v="ORD01121"/>
    <d v="2023-03-17T00:00:00"/>
    <x v="224"/>
    <x v="0"/>
    <x v="1"/>
    <n v="3"/>
    <n v="1159"/>
    <n v="3477"/>
  </r>
  <r>
    <s v="ORD01122"/>
    <d v="2024-03-20T00:00:00"/>
    <x v="156"/>
    <x v="1"/>
    <x v="0"/>
    <n v="2"/>
    <n v="926"/>
    <n v="1852"/>
  </r>
  <r>
    <s v="ORD01123"/>
    <d v="2024-10-12T00:00:00"/>
    <x v="176"/>
    <x v="2"/>
    <x v="4"/>
    <n v="1"/>
    <n v="1039"/>
    <n v="1039"/>
  </r>
  <r>
    <s v="ORD01124"/>
    <d v="2023-09-05T00:00:00"/>
    <x v="45"/>
    <x v="0"/>
    <x v="3"/>
    <n v="3"/>
    <n v="508"/>
    <n v="1524"/>
  </r>
  <r>
    <s v="ORD01125"/>
    <d v="2023-10-06T00:00:00"/>
    <x v="211"/>
    <x v="1"/>
    <x v="3"/>
    <n v="2"/>
    <n v="523"/>
    <n v="1046"/>
  </r>
  <r>
    <s v="ORD01126"/>
    <d v="2024-06-24T00:00:00"/>
    <x v="230"/>
    <x v="1"/>
    <x v="1"/>
    <n v="2"/>
    <n v="109"/>
    <n v="218"/>
  </r>
  <r>
    <s v="ORD01127"/>
    <d v="2023-08-31T00:00:00"/>
    <x v="74"/>
    <x v="2"/>
    <x v="4"/>
    <n v="1"/>
    <n v="837"/>
    <n v="837"/>
  </r>
  <r>
    <s v="ORD01128"/>
    <d v="2023-01-22T00:00:00"/>
    <x v="146"/>
    <x v="1"/>
    <x v="2"/>
    <n v="1"/>
    <n v="235"/>
    <n v="235"/>
  </r>
  <r>
    <s v="ORD01129"/>
    <d v="2024-05-24T00:00:00"/>
    <x v="60"/>
    <x v="2"/>
    <x v="0"/>
    <n v="4"/>
    <n v="697"/>
    <n v="2788"/>
  </r>
  <r>
    <s v="ORD01130"/>
    <d v="2024-09-22T00:00:00"/>
    <x v="42"/>
    <x v="1"/>
    <x v="3"/>
    <n v="3"/>
    <n v="311"/>
    <n v="933"/>
  </r>
  <r>
    <s v="ORD01131"/>
    <d v="2023-12-13T00:00:00"/>
    <x v="142"/>
    <x v="0"/>
    <x v="4"/>
    <n v="4"/>
    <n v="368"/>
    <n v="1472"/>
  </r>
  <r>
    <s v="ORD01132"/>
    <d v="2024-04-11T00:00:00"/>
    <x v="61"/>
    <x v="2"/>
    <x v="3"/>
    <n v="1"/>
    <n v="944"/>
    <n v="944"/>
  </r>
  <r>
    <s v="ORD01133"/>
    <d v="2023-03-27T00:00:00"/>
    <x v="280"/>
    <x v="2"/>
    <x v="0"/>
    <n v="2"/>
    <n v="141"/>
    <n v="282"/>
  </r>
  <r>
    <s v="ORD01134"/>
    <d v="2023-04-09T00:00:00"/>
    <x v="179"/>
    <x v="2"/>
    <x v="2"/>
    <n v="3"/>
    <n v="531"/>
    <n v="1593"/>
  </r>
  <r>
    <s v="ORD01135"/>
    <d v="2024-06-25T00:00:00"/>
    <x v="154"/>
    <x v="0"/>
    <x v="4"/>
    <n v="1"/>
    <n v="790"/>
    <n v="790"/>
  </r>
  <r>
    <s v="ORD01136"/>
    <d v="2023-02-05T00:00:00"/>
    <x v="104"/>
    <x v="2"/>
    <x v="3"/>
    <n v="2"/>
    <n v="796"/>
    <n v="1592"/>
  </r>
  <r>
    <s v="ORD01137"/>
    <d v="2023-03-26T00:00:00"/>
    <x v="212"/>
    <x v="2"/>
    <x v="1"/>
    <n v="5"/>
    <n v="392"/>
    <n v="1960"/>
  </r>
  <r>
    <s v="ORD01138"/>
    <d v="2024-06-13T00:00:00"/>
    <x v="295"/>
    <x v="2"/>
    <x v="4"/>
    <n v="5"/>
    <n v="1110"/>
    <n v="5550"/>
  </r>
  <r>
    <s v="ORD01139"/>
    <d v="2023-04-20T00:00:00"/>
    <x v="149"/>
    <x v="1"/>
    <x v="3"/>
    <n v="5"/>
    <n v="555"/>
    <n v="2775"/>
  </r>
  <r>
    <s v="ORD01140"/>
    <d v="2023-12-15T00:00:00"/>
    <x v="110"/>
    <x v="1"/>
    <x v="4"/>
    <n v="2"/>
    <n v="253"/>
    <n v="506"/>
  </r>
  <r>
    <s v="ORD01141"/>
    <d v="2023-07-03T00:00:00"/>
    <x v="17"/>
    <x v="1"/>
    <x v="4"/>
    <n v="4"/>
    <n v="211"/>
    <n v="844"/>
  </r>
  <r>
    <s v="ORD01142"/>
    <d v="2023-09-27T00:00:00"/>
    <x v="135"/>
    <x v="2"/>
    <x v="4"/>
    <n v="2"/>
    <n v="921"/>
    <n v="1842"/>
  </r>
  <r>
    <s v="ORD01143"/>
    <d v="2023-02-09T00:00:00"/>
    <x v="5"/>
    <x v="1"/>
    <x v="4"/>
    <n v="4"/>
    <n v="114"/>
    <n v="456"/>
  </r>
  <r>
    <s v="ORD01144"/>
    <d v="2023-01-24T00:00:00"/>
    <x v="50"/>
    <x v="3"/>
    <x v="2"/>
    <n v="2"/>
    <n v="497"/>
    <n v="994"/>
  </r>
  <r>
    <s v="ORD01145"/>
    <d v="2024-06-04T00:00:00"/>
    <x v="211"/>
    <x v="2"/>
    <x v="1"/>
    <n v="5"/>
    <n v="1070"/>
    <n v="5350"/>
  </r>
  <r>
    <s v="ORD01146"/>
    <d v="2023-11-09T00:00:00"/>
    <x v="221"/>
    <x v="1"/>
    <x v="0"/>
    <n v="3"/>
    <n v="374"/>
    <n v="1122"/>
  </r>
  <r>
    <s v="ORD01147"/>
    <d v="2023-01-25T00:00:00"/>
    <x v="0"/>
    <x v="2"/>
    <x v="2"/>
    <n v="1"/>
    <n v="510"/>
    <n v="510"/>
  </r>
  <r>
    <s v="ORD01148"/>
    <d v="2024-11-05T00:00:00"/>
    <x v="72"/>
    <x v="2"/>
    <x v="2"/>
    <n v="3"/>
    <n v="281"/>
    <n v="843"/>
  </r>
  <r>
    <s v="ORD01149"/>
    <d v="2023-07-21T00:00:00"/>
    <x v="115"/>
    <x v="2"/>
    <x v="4"/>
    <n v="1"/>
    <n v="1015"/>
    <n v="1015"/>
  </r>
  <r>
    <s v="ORD01150"/>
    <d v="2024-03-09T00:00:00"/>
    <x v="248"/>
    <x v="0"/>
    <x v="0"/>
    <n v="5"/>
    <n v="1125"/>
    <n v="5625"/>
  </r>
  <r>
    <s v="ORD01151"/>
    <d v="2023-04-06T00:00:00"/>
    <x v="58"/>
    <x v="3"/>
    <x v="4"/>
    <n v="4"/>
    <n v="632"/>
    <n v="2528"/>
  </r>
  <r>
    <s v="ORD01152"/>
    <d v="2024-05-20T00:00:00"/>
    <x v="245"/>
    <x v="3"/>
    <x v="1"/>
    <n v="3"/>
    <n v="263"/>
    <n v="789"/>
  </r>
  <r>
    <s v="ORD01153"/>
    <d v="2023-01-19T00:00:00"/>
    <x v="225"/>
    <x v="3"/>
    <x v="2"/>
    <n v="4"/>
    <n v="1176"/>
    <n v="4704"/>
  </r>
  <r>
    <s v="ORD01154"/>
    <d v="2024-06-11T00:00:00"/>
    <x v="81"/>
    <x v="1"/>
    <x v="0"/>
    <n v="2"/>
    <n v="462"/>
    <n v="924"/>
  </r>
  <r>
    <s v="ORD01155"/>
    <d v="2023-11-30T00:00:00"/>
    <x v="67"/>
    <x v="0"/>
    <x v="2"/>
    <n v="5"/>
    <n v="870"/>
    <n v="4350"/>
  </r>
  <r>
    <s v="ORD01156"/>
    <d v="2024-04-22T00:00:00"/>
    <x v="69"/>
    <x v="3"/>
    <x v="4"/>
    <n v="3"/>
    <n v="898"/>
    <n v="2694"/>
  </r>
  <r>
    <s v="ORD01157"/>
    <d v="2023-12-16T00:00:00"/>
    <x v="166"/>
    <x v="3"/>
    <x v="3"/>
    <n v="1"/>
    <n v="268"/>
    <n v="268"/>
  </r>
  <r>
    <s v="ORD01158"/>
    <d v="2023-03-27T00:00:00"/>
    <x v="207"/>
    <x v="2"/>
    <x v="1"/>
    <n v="4"/>
    <n v="110"/>
    <n v="440"/>
  </r>
  <r>
    <s v="ORD01159"/>
    <d v="2023-05-27T00:00:00"/>
    <x v="27"/>
    <x v="2"/>
    <x v="1"/>
    <n v="3"/>
    <n v="855"/>
    <n v="2565"/>
  </r>
  <r>
    <s v="ORD01160"/>
    <d v="2023-04-26T00:00:00"/>
    <x v="49"/>
    <x v="1"/>
    <x v="0"/>
    <n v="3"/>
    <n v="131"/>
    <n v="393"/>
  </r>
  <r>
    <s v="ORD01161"/>
    <d v="2024-06-06T00:00:00"/>
    <x v="51"/>
    <x v="1"/>
    <x v="4"/>
    <n v="1"/>
    <n v="1020"/>
    <n v="1020"/>
  </r>
  <r>
    <s v="ORD01162"/>
    <d v="2024-10-31T00:00:00"/>
    <x v="280"/>
    <x v="1"/>
    <x v="3"/>
    <n v="4"/>
    <n v="1194"/>
    <n v="4776"/>
  </r>
  <r>
    <s v="ORD01163"/>
    <d v="2023-12-07T00:00:00"/>
    <x v="86"/>
    <x v="2"/>
    <x v="0"/>
    <n v="5"/>
    <n v="633"/>
    <n v="3165"/>
  </r>
  <r>
    <s v="ORD01164"/>
    <d v="2023-02-10T00:00:00"/>
    <x v="231"/>
    <x v="1"/>
    <x v="1"/>
    <n v="1"/>
    <n v="962"/>
    <n v="962"/>
  </r>
  <r>
    <s v="ORD01165"/>
    <d v="2023-06-07T00:00:00"/>
    <x v="225"/>
    <x v="2"/>
    <x v="0"/>
    <n v="2"/>
    <n v="1183"/>
    <n v="2366"/>
  </r>
  <r>
    <s v="ORD01166"/>
    <d v="2023-04-05T00:00:00"/>
    <x v="278"/>
    <x v="0"/>
    <x v="1"/>
    <n v="1"/>
    <n v="428"/>
    <n v="428"/>
  </r>
  <r>
    <s v="ORD01167"/>
    <d v="2024-02-23T00:00:00"/>
    <x v="111"/>
    <x v="2"/>
    <x v="2"/>
    <n v="3"/>
    <n v="619"/>
    <n v="1857"/>
  </r>
  <r>
    <s v="ORD01168"/>
    <d v="2023-02-10T00:00:00"/>
    <x v="25"/>
    <x v="0"/>
    <x v="0"/>
    <n v="5"/>
    <n v="130"/>
    <n v="650"/>
  </r>
  <r>
    <s v="ORD01169"/>
    <d v="2023-02-24T00:00:00"/>
    <x v="147"/>
    <x v="0"/>
    <x v="0"/>
    <n v="1"/>
    <n v="252"/>
    <n v="252"/>
  </r>
  <r>
    <s v="ORD01170"/>
    <d v="2023-04-27T00:00:00"/>
    <x v="263"/>
    <x v="1"/>
    <x v="0"/>
    <n v="4"/>
    <n v="471"/>
    <n v="1884"/>
  </r>
  <r>
    <s v="ORD01171"/>
    <d v="2024-06-07T00:00:00"/>
    <x v="4"/>
    <x v="0"/>
    <x v="1"/>
    <n v="1"/>
    <n v="171"/>
    <n v="171"/>
  </r>
  <r>
    <s v="ORD01172"/>
    <d v="2024-10-04T00:00:00"/>
    <x v="223"/>
    <x v="0"/>
    <x v="1"/>
    <n v="3"/>
    <n v="143"/>
    <n v="429"/>
  </r>
  <r>
    <s v="ORD01173"/>
    <d v="2024-05-17T00:00:00"/>
    <x v="32"/>
    <x v="0"/>
    <x v="4"/>
    <n v="1"/>
    <n v="574"/>
    <n v="574"/>
  </r>
  <r>
    <s v="ORD01174"/>
    <d v="2023-01-06T00:00:00"/>
    <x v="72"/>
    <x v="0"/>
    <x v="4"/>
    <n v="4"/>
    <n v="1116"/>
    <n v="4464"/>
  </r>
  <r>
    <s v="ORD01175"/>
    <d v="2023-01-04T00:00:00"/>
    <x v="141"/>
    <x v="2"/>
    <x v="4"/>
    <n v="4"/>
    <n v="220"/>
    <n v="880"/>
  </r>
  <r>
    <s v="ORD01176"/>
    <d v="2023-10-05T00:00:00"/>
    <x v="204"/>
    <x v="3"/>
    <x v="3"/>
    <n v="5"/>
    <n v="851"/>
    <n v="4255"/>
  </r>
  <r>
    <s v="ORD01177"/>
    <d v="2024-01-02T00:00:00"/>
    <x v="191"/>
    <x v="1"/>
    <x v="4"/>
    <n v="4"/>
    <n v="176"/>
    <n v="704"/>
  </r>
  <r>
    <s v="ORD01178"/>
    <d v="2024-09-20T00:00:00"/>
    <x v="241"/>
    <x v="0"/>
    <x v="1"/>
    <n v="5"/>
    <n v="1029"/>
    <n v="5145"/>
  </r>
  <r>
    <s v="ORD01179"/>
    <d v="2023-10-03T00:00:00"/>
    <x v="8"/>
    <x v="2"/>
    <x v="0"/>
    <n v="3"/>
    <n v="369"/>
    <n v="1107"/>
  </r>
  <r>
    <s v="ORD01180"/>
    <d v="2023-06-30T00:00:00"/>
    <x v="92"/>
    <x v="0"/>
    <x v="2"/>
    <n v="3"/>
    <n v="826"/>
    <n v="2478"/>
  </r>
  <r>
    <s v="ORD01181"/>
    <d v="2024-05-20T00:00:00"/>
    <x v="131"/>
    <x v="2"/>
    <x v="0"/>
    <n v="3"/>
    <n v="181"/>
    <n v="543"/>
  </r>
  <r>
    <s v="ORD01182"/>
    <d v="2023-06-29T00:00:00"/>
    <x v="262"/>
    <x v="0"/>
    <x v="2"/>
    <n v="2"/>
    <n v="514"/>
    <n v="1028"/>
  </r>
  <r>
    <s v="ORD01183"/>
    <d v="2024-02-24T00:00:00"/>
    <x v="153"/>
    <x v="0"/>
    <x v="2"/>
    <n v="2"/>
    <n v="303"/>
    <n v="606"/>
  </r>
  <r>
    <s v="ORD01184"/>
    <d v="2023-01-29T00:00:00"/>
    <x v="209"/>
    <x v="2"/>
    <x v="0"/>
    <n v="5"/>
    <n v="921"/>
    <n v="4605"/>
  </r>
  <r>
    <s v="ORD01185"/>
    <d v="2023-09-26T00:00:00"/>
    <x v="37"/>
    <x v="3"/>
    <x v="4"/>
    <n v="2"/>
    <n v="699"/>
    <n v="1398"/>
  </r>
  <r>
    <s v="ORD01186"/>
    <d v="2024-08-28T00:00:00"/>
    <x v="47"/>
    <x v="1"/>
    <x v="1"/>
    <n v="2"/>
    <n v="1125"/>
    <n v="2250"/>
  </r>
  <r>
    <s v="ORD01187"/>
    <d v="2024-01-14T00:00:00"/>
    <x v="61"/>
    <x v="3"/>
    <x v="1"/>
    <n v="2"/>
    <n v="352"/>
    <n v="704"/>
  </r>
  <r>
    <s v="ORD01188"/>
    <d v="2024-06-27T00:00:00"/>
    <x v="19"/>
    <x v="3"/>
    <x v="4"/>
    <n v="3"/>
    <n v="305"/>
    <n v="915"/>
  </r>
  <r>
    <s v="ORD01189"/>
    <d v="2024-03-09T00:00:00"/>
    <x v="131"/>
    <x v="3"/>
    <x v="3"/>
    <n v="3"/>
    <n v="967"/>
    <n v="2901"/>
  </r>
  <r>
    <s v="ORD01190"/>
    <d v="2023-09-02T00:00:00"/>
    <x v="114"/>
    <x v="3"/>
    <x v="1"/>
    <n v="2"/>
    <n v="814"/>
    <n v="1628"/>
  </r>
  <r>
    <s v="ORD01191"/>
    <d v="2024-01-04T00:00:00"/>
    <x v="267"/>
    <x v="2"/>
    <x v="4"/>
    <n v="4"/>
    <n v="246"/>
    <n v="984"/>
  </r>
  <r>
    <s v="ORD01192"/>
    <d v="2023-06-13T00:00:00"/>
    <x v="206"/>
    <x v="2"/>
    <x v="3"/>
    <n v="4"/>
    <n v="1038"/>
    <n v="4152"/>
  </r>
  <r>
    <s v="ORD01193"/>
    <d v="2023-07-26T00:00:00"/>
    <x v="164"/>
    <x v="3"/>
    <x v="0"/>
    <n v="2"/>
    <n v="192"/>
    <n v="384"/>
  </r>
  <r>
    <s v="ORD01194"/>
    <d v="2024-05-18T00:00:00"/>
    <x v="240"/>
    <x v="0"/>
    <x v="4"/>
    <n v="1"/>
    <n v="142"/>
    <n v="142"/>
  </r>
  <r>
    <s v="ORD01195"/>
    <d v="2023-08-17T00:00:00"/>
    <x v="108"/>
    <x v="0"/>
    <x v="0"/>
    <n v="2"/>
    <n v="211"/>
    <n v="422"/>
  </r>
  <r>
    <s v="ORD01196"/>
    <d v="2024-10-08T00:00:00"/>
    <x v="70"/>
    <x v="0"/>
    <x v="4"/>
    <n v="5"/>
    <n v="1022"/>
    <n v="5110"/>
  </r>
  <r>
    <s v="ORD01197"/>
    <d v="2023-11-05T00:00:00"/>
    <x v="50"/>
    <x v="3"/>
    <x v="4"/>
    <n v="4"/>
    <n v="468"/>
    <n v="1872"/>
  </r>
  <r>
    <s v="ORD01198"/>
    <d v="2024-11-02T00:00:00"/>
    <x v="85"/>
    <x v="0"/>
    <x v="4"/>
    <n v="3"/>
    <n v="748"/>
    <n v="2244"/>
  </r>
  <r>
    <s v="ORD01199"/>
    <d v="2023-05-21T00:00:00"/>
    <x v="3"/>
    <x v="2"/>
    <x v="2"/>
    <n v="4"/>
    <n v="983"/>
    <n v="3932"/>
  </r>
  <r>
    <s v="ORD01200"/>
    <d v="2024-06-10T00:00:00"/>
    <x v="242"/>
    <x v="3"/>
    <x v="1"/>
    <n v="3"/>
    <n v="564"/>
    <n v="1692"/>
  </r>
  <r>
    <s v="ORD01201"/>
    <d v="2024-05-26T00:00:00"/>
    <x v="205"/>
    <x v="1"/>
    <x v="4"/>
    <n v="5"/>
    <n v="1161"/>
    <n v="5805"/>
  </r>
  <r>
    <s v="ORD01202"/>
    <d v="2023-12-16T00:00:00"/>
    <x v="52"/>
    <x v="1"/>
    <x v="3"/>
    <n v="1"/>
    <n v="260"/>
    <n v="260"/>
  </r>
  <r>
    <s v="ORD01203"/>
    <d v="2023-10-08T00:00:00"/>
    <x v="196"/>
    <x v="1"/>
    <x v="2"/>
    <n v="5"/>
    <n v="614"/>
    <n v="3070"/>
  </r>
  <r>
    <s v="ORD01204"/>
    <d v="2023-12-12T00:00:00"/>
    <x v="227"/>
    <x v="2"/>
    <x v="1"/>
    <n v="1"/>
    <n v="772"/>
    <n v="772"/>
  </r>
  <r>
    <s v="ORD01205"/>
    <d v="2024-08-26T00:00:00"/>
    <x v="50"/>
    <x v="2"/>
    <x v="4"/>
    <n v="3"/>
    <n v="696"/>
    <n v="2088"/>
  </r>
  <r>
    <s v="ORD01206"/>
    <d v="2023-01-21T00:00:00"/>
    <x v="222"/>
    <x v="0"/>
    <x v="1"/>
    <n v="3"/>
    <n v="672"/>
    <n v="2016"/>
  </r>
  <r>
    <s v="ORD01207"/>
    <d v="2024-03-10T00:00:00"/>
    <x v="109"/>
    <x v="1"/>
    <x v="2"/>
    <n v="1"/>
    <n v="1163"/>
    <n v="1163"/>
  </r>
  <r>
    <s v="ORD01208"/>
    <d v="2023-01-01T00:00:00"/>
    <x v="138"/>
    <x v="3"/>
    <x v="2"/>
    <n v="5"/>
    <n v="894"/>
    <n v="4470"/>
  </r>
  <r>
    <s v="ORD01209"/>
    <d v="2023-05-31T00:00:00"/>
    <x v="57"/>
    <x v="2"/>
    <x v="0"/>
    <n v="4"/>
    <n v="954"/>
    <n v="3816"/>
  </r>
  <r>
    <s v="ORD01210"/>
    <d v="2023-09-24T00:00:00"/>
    <x v="182"/>
    <x v="3"/>
    <x v="2"/>
    <n v="4"/>
    <n v="148"/>
    <n v="592"/>
  </r>
  <r>
    <s v="ORD01211"/>
    <d v="2023-01-06T00:00:00"/>
    <x v="46"/>
    <x v="2"/>
    <x v="3"/>
    <n v="4"/>
    <n v="343"/>
    <n v="1372"/>
  </r>
  <r>
    <s v="ORD01212"/>
    <d v="2023-09-24T00:00:00"/>
    <x v="205"/>
    <x v="0"/>
    <x v="3"/>
    <n v="3"/>
    <n v="331"/>
    <n v="993"/>
  </r>
  <r>
    <s v="ORD01213"/>
    <d v="2024-11-29T00:00:00"/>
    <x v="195"/>
    <x v="1"/>
    <x v="2"/>
    <n v="1"/>
    <n v="1031"/>
    <n v="1031"/>
  </r>
  <r>
    <s v="ORD01214"/>
    <d v="2023-07-22T00:00:00"/>
    <x v="35"/>
    <x v="0"/>
    <x v="3"/>
    <n v="5"/>
    <n v="658"/>
    <n v="3290"/>
  </r>
  <r>
    <s v="ORD01215"/>
    <d v="2023-09-30T00:00:00"/>
    <x v="200"/>
    <x v="3"/>
    <x v="1"/>
    <n v="3"/>
    <n v="833"/>
    <n v="2499"/>
  </r>
  <r>
    <s v="ORD01216"/>
    <d v="2024-02-20T00:00:00"/>
    <x v="121"/>
    <x v="2"/>
    <x v="0"/>
    <n v="3"/>
    <n v="929"/>
    <n v="2787"/>
  </r>
  <r>
    <s v="ORD01217"/>
    <d v="2024-11-06T00:00:00"/>
    <x v="114"/>
    <x v="2"/>
    <x v="0"/>
    <n v="1"/>
    <n v="854"/>
    <n v="854"/>
  </r>
  <r>
    <s v="ORD01218"/>
    <d v="2024-06-05T00:00:00"/>
    <x v="2"/>
    <x v="1"/>
    <x v="1"/>
    <n v="4"/>
    <n v="1168"/>
    <n v="4672"/>
  </r>
  <r>
    <s v="ORD01219"/>
    <d v="2023-09-22T00:00:00"/>
    <x v="190"/>
    <x v="2"/>
    <x v="0"/>
    <n v="2"/>
    <n v="628"/>
    <n v="1256"/>
  </r>
  <r>
    <s v="ORD01220"/>
    <d v="2023-04-07T00:00:00"/>
    <x v="118"/>
    <x v="3"/>
    <x v="4"/>
    <n v="5"/>
    <n v="690"/>
    <n v="3450"/>
  </r>
  <r>
    <s v="ORD01221"/>
    <d v="2024-10-14T00:00:00"/>
    <x v="137"/>
    <x v="1"/>
    <x v="2"/>
    <n v="1"/>
    <n v="845"/>
    <n v="845"/>
  </r>
  <r>
    <s v="ORD01222"/>
    <d v="2024-04-02T00:00:00"/>
    <x v="251"/>
    <x v="2"/>
    <x v="3"/>
    <n v="2"/>
    <n v="304"/>
    <n v="608"/>
  </r>
  <r>
    <s v="ORD01223"/>
    <d v="2023-04-17T00:00:00"/>
    <x v="216"/>
    <x v="2"/>
    <x v="4"/>
    <n v="4"/>
    <n v="683"/>
    <n v="2732"/>
  </r>
  <r>
    <s v="ORD01224"/>
    <d v="2023-06-25T00:00:00"/>
    <x v="276"/>
    <x v="1"/>
    <x v="4"/>
    <n v="1"/>
    <n v="742"/>
    <n v="742"/>
  </r>
  <r>
    <s v="ORD01225"/>
    <d v="2023-08-30T00:00:00"/>
    <x v="181"/>
    <x v="2"/>
    <x v="0"/>
    <n v="2"/>
    <n v="674"/>
    <n v="1348"/>
  </r>
  <r>
    <s v="ORD01226"/>
    <d v="2024-02-10T00:00:00"/>
    <x v="241"/>
    <x v="1"/>
    <x v="0"/>
    <n v="1"/>
    <n v="234"/>
    <n v="234"/>
  </r>
  <r>
    <s v="ORD01227"/>
    <d v="2024-02-27T00:00:00"/>
    <x v="57"/>
    <x v="3"/>
    <x v="4"/>
    <n v="2"/>
    <n v="894"/>
    <n v="1788"/>
  </r>
  <r>
    <s v="ORD01228"/>
    <d v="2023-10-28T00:00:00"/>
    <x v="219"/>
    <x v="2"/>
    <x v="1"/>
    <n v="5"/>
    <n v="1167"/>
    <n v="5835"/>
  </r>
  <r>
    <s v="ORD01229"/>
    <d v="2024-09-26T00:00:00"/>
    <x v="223"/>
    <x v="0"/>
    <x v="0"/>
    <n v="5"/>
    <n v="360"/>
    <n v="1800"/>
  </r>
  <r>
    <s v="ORD01230"/>
    <d v="2023-01-01T00:00:00"/>
    <x v="137"/>
    <x v="1"/>
    <x v="0"/>
    <n v="1"/>
    <n v="335"/>
    <n v="335"/>
  </r>
  <r>
    <s v="ORD01231"/>
    <d v="2023-06-05T00:00:00"/>
    <x v="96"/>
    <x v="3"/>
    <x v="0"/>
    <n v="5"/>
    <n v="588"/>
    <n v="2940"/>
  </r>
  <r>
    <s v="ORD01232"/>
    <d v="2024-05-15T00:00:00"/>
    <x v="34"/>
    <x v="0"/>
    <x v="1"/>
    <n v="3"/>
    <n v="887"/>
    <n v="2661"/>
  </r>
  <r>
    <s v="ORD01233"/>
    <d v="2023-09-28T00:00:00"/>
    <x v="125"/>
    <x v="0"/>
    <x v="4"/>
    <n v="2"/>
    <n v="832"/>
    <n v="1664"/>
  </r>
  <r>
    <s v="ORD01234"/>
    <d v="2024-06-26T00:00:00"/>
    <x v="121"/>
    <x v="1"/>
    <x v="1"/>
    <n v="1"/>
    <n v="287"/>
    <n v="287"/>
  </r>
  <r>
    <s v="ORD01235"/>
    <d v="2023-11-23T00:00:00"/>
    <x v="131"/>
    <x v="0"/>
    <x v="3"/>
    <n v="2"/>
    <n v="1117"/>
    <n v="2234"/>
  </r>
  <r>
    <s v="ORD01236"/>
    <d v="2024-10-26T00:00:00"/>
    <x v="183"/>
    <x v="3"/>
    <x v="4"/>
    <n v="5"/>
    <n v="295"/>
    <n v="1475"/>
  </r>
  <r>
    <s v="ORD01237"/>
    <d v="2024-02-29T00:00:00"/>
    <x v="200"/>
    <x v="1"/>
    <x v="1"/>
    <n v="4"/>
    <n v="140"/>
    <n v="560"/>
  </r>
  <r>
    <s v="ORD01238"/>
    <d v="2023-03-06T00:00:00"/>
    <x v="253"/>
    <x v="1"/>
    <x v="1"/>
    <n v="5"/>
    <n v="932"/>
    <n v="4660"/>
  </r>
  <r>
    <s v="ORD01239"/>
    <d v="2024-08-13T00:00:00"/>
    <x v="185"/>
    <x v="0"/>
    <x v="2"/>
    <n v="4"/>
    <n v="429"/>
    <n v="1716"/>
  </r>
  <r>
    <s v="ORD01240"/>
    <d v="2024-03-03T00:00:00"/>
    <x v="221"/>
    <x v="1"/>
    <x v="1"/>
    <n v="5"/>
    <n v="783"/>
    <n v="3915"/>
  </r>
  <r>
    <s v="ORD01241"/>
    <d v="2024-01-20T00:00:00"/>
    <x v="279"/>
    <x v="1"/>
    <x v="4"/>
    <n v="4"/>
    <n v="645"/>
    <n v="2580"/>
  </r>
  <r>
    <s v="ORD01242"/>
    <d v="2023-03-24T00:00:00"/>
    <x v="144"/>
    <x v="1"/>
    <x v="4"/>
    <n v="5"/>
    <n v="1030"/>
    <n v="5150"/>
  </r>
  <r>
    <s v="ORD01243"/>
    <d v="2023-07-20T00:00:00"/>
    <x v="62"/>
    <x v="1"/>
    <x v="1"/>
    <n v="2"/>
    <n v="489"/>
    <n v="978"/>
  </r>
  <r>
    <s v="ORD01244"/>
    <d v="2023-01-17T00:00:00"/>
    <x v="102"/>
    <x v="0"/>
    <x v="2"/>
    <n v="3"/>
    <n v="349"/>
    <n v="1047"/>
  </r>
  <r>
    <s v="ORD01245"/>
    <d v="2024-04-10T00:00:00"/>
    <x v="203"/>
    <x v="1"/>
    <x v="1"/>
    <n v="2"/>
    <n v="360"/>
    <n v="720"/>
  </r>
  <r>
    <s v="ORD01246"/>
    <d v="2024-04-05T00:00:00"/>
    <x v="160"/>
    <x v="1"/>
    <x v="2"/>
    <n v="1"/>
    <n v="959"/>
    <n v="959"/>
  </r>
  <r>
    <s v="ORD01247"/>
    <d v="2024-06-29T00:00:00"/>
    <x v="252"/>
    <x v="3"/>
    <x v="1"/>
    <n v="1"/>
    <n v="380"/>
    <n v="380"/>
  </r>
  <r>
    <s v="ORD01248"/>
    <d v="2023-04-04T00:00:00"/>
    <x v="55"/>
    <x v="2"/>
    <x v="4"/>
    <n v="3"/>
    <n v="241"/>
    <n v="723"/>
  </r>
  <r>
    <s v="ORD01249"/>
    <d v="2024-01-18T00:00:00"/>
    <x v="72"/>
    <x v="1"/>
    <x v="0"/>
    <n v="4"/>
    <n v="895"/>
    <n v="3580"/>
  </r>
  <r>
    <s v="ORD01250"/>
    <d v="2024-02-29T00:00:00"/>
    <x v="227"/>
    <x v="2"/>
    <x v="3"/>
    <n v="5"/>
    <n v="372"/>
    <n v="1860"/>
  </r>
  <r>
    <s v="ORD01251"/>
    <d v="2024-03-05T00:00:00"/>
    <x v="144"/>
    <x v="2"/>
    <x v="4"/>
    <n v="5"/>
    <n v="542"/>
    <n v="2710"/>
  </r>
  <r>
    <s v="ORD01252"/>
    <d v="2024-11-28T00:00:00"/>
    <x v="100"/>
    <x v="2"/>
    <x v="4"/>
    <n v="2"/>
    <n v="1079"/>
    <n v="2158"/>
  </r>
  <r>
    <s v="ORD01253"/>
    <d v="2024-08-25T00:00:00"/>
    <x v="277"/>
    <x v="3"/>
    <x v="0"/>
    <n v="1"/>
    <n v="348"/>
    <n v="348"/>
  </r>
  <r>
    <s v="ORD01254"/>
    <d v="2024-07-01T00:00:00"/>
    <x v="274"/>
    <x v="3"/>
    <x v="1"/>
    <n v="3"/>
    <n v="617"/>
    <n v="1851"/>
  </r>
  <r>
    <s v="ORD01255"/>
    <d v="2023-12-27T00:00:00"/>
    <x v="76"/>
    <x v="1"/>
    <x v="3"/>
    <n v="2"/>
    <n v="726"/>
    <n v="1452"/>
  </r>
  <r>
    <s v="ORD01256"/>
    <d v="2024-01-27T00:00:00"/>
    <x v="124"/>
    <x v="2"/>
    <x v="1"/>
    <n v="5"/>
    <n v="717"/>
    <n v="3585"/>
  </r>
  <r>
    <s v="ORD01257"/>
    <d v="2023-04-23T00:00:00"/>
    <x v="256"/>
    <x v="2"/>
    <x v="4"/>
    <n v="3"/>
    <n v="659"/>
    <n v="1977"/>
  </r>
  <r>
    <s v="ORD01258"/>
    <d v="2024-01-21T00:00:00"/>
    <x v="32"/>
    <x v="0"/>
    <x v="1"/>
    <n v="5"/>
    <n v="172"/>
    <n v="860"/>
  </r>
  <r>
    <s v="ORD01259"/>
    <d v="2024-05-07T00:00:00"/>
    <x v="22"/>
    <x v="1"/>
    <x v="4"/>
    <n v="2"/>
    <n v="424"/>
    <n v="848"/>
  </r>
  <r>
    <s v="ORD01260"/>
    <d v="2023-01-11T00:00:00"/>
    <x v="254"/>
    <x v="2"/>
    <x v="3"/>
    <n v="4"/>
    <n v="881"/>
    <n v="3524"/>
  </r>
  <r>
    <s v="ORD01261"/>
    <d v="2023-10-17T00:00:00"/>
    <x v="69"/>
    <x v="0"/>
    <x v="1"/>
    <n v="2"/>
    <n v="964"/>
    <n v="1928"/>
  </r>
  <r>
    <s v="ORD01262"/>
    <d v="2024-01-24T00:00:00"/>
    <x v="191"/>
    <x v="0"/>
    <x v="1"/>
    <n v="4"/>
    <n v="146"/>
    <n v="584"/>
  </r>
  <r>
    <s v="ORD01263"/>
    <d v="2023-12-09T00:00:00"/>
    <x v="225"/>
    <x v="1"/>
    <x v="4"/>
    <n v="1"/>
    <n v="855"/>
    <n v="855"/>
  </r>
  <r>
    <s v="ORD01264"/>
    <d v="2023-03-09T00:00:00"/>
    <x v="73"/>
    <x v="0"/>
    <x v="2"/>
    <n v="4"/>
    <n v="816"/>
    <n v="3264"/>
  </r>
  <r>
    <s v="ORD01265"/>
    <d v="2023-11-20T00:00:00"/>
    <x v="97"/>
    <x v="2"/>
    <x v="2"/>
    <n v="1"/>
    <n v="154"/>
    <n v="154"/>
  </r>
  <r>
    <s v="ORD01266"/>
    <d v="2023-08-30T00:00:00"/>
    <x v="28"/>
    <x v="2"/>
    <x v="4"/>
    <n v="4"/>
    <n v="248"/>
    <n v="992"/>
  </r>
  <r>
    <s v="ORD01267"/>
    <d v="2023-12-07T00:00:00"/>
    <x v="132"/>
    <x v="0"/>
    <x v="3"/>
    <n v="3"/>
    <n v="750"/>
    <n v="2250"/>
  </r>
  <r>
    <s v="ORD01268"/>
    <d v="2024-11-26T00:00:00"/>
    <x v="85"/>
    <x v="2"/>
    <x v="2"/>
    <n v="3"/>
    <n v="856"/>
    <n v="2568"/>
  </r>
  <r>
    <s v="ORD01269"/>
    <d v="2023-06-02T00:00:00"/>
    <x v="149"/>
    <x v="1"/>
    <x v="2"/>
    <n v="5"/>
    <n v="404"/>
    <n v="2020"/>
  </r>
  <r>
    <s v="ORD01270"/>
    <d v="2023-12-13T00:00:00"/>
    <x v="216"/>
    <x v="1"/>
    <x v="2"/>
    <n v="3"/>
    <n v="329"/>
    <n v="987"/>
  </r>
  <r>
    <s v="ORD01271"/>
    <d v="2024-05-06T00:00:00"/>
    <x v="291"/>
    <x v="2"/>
    <x v="0"/>
    <n v="4"/>
    <n v="326"/>
    <n v="1304"/>
  </r>
  <r>
    <s v="ORD01272"/>
    <d v="2023-09-10T00:00:00"/>
    <x v="209"/>
    <x v="2"/>
    <x v="3"/>
    <n v="1"/>
    <n v="837"/>
    <n v="837"/>
  </r>
  <r>
    <s v="ORD01273"/>
    <d v="2024-03-04T00:00:00"/>
    <x v="128"/>
    <x v="1"/>
    <x v="1"/>
    <n v="5"/>
    <n v="591"/>
    <n v="2955"/>
  </r>
  <r>
    <s v="ORD01274"/>
    <d v="2024-10-30T00:00:00"/>
    <x v="262"/>
    <x v="2"/>
    <x v="2"/>
    <n v="4"/>
    <n v="1172"/>
    <n v="4688"/>
  </r>
  <r>
    <s v="ORD01275"/>
    <d v="2023-05-18T00:00:00"/>
    <x v="49"/>
    <x v="0"/>
    <x v="2"/>
    <n v="4"/>
    <n v="883"/>
    <n v="3532"/>
  </r>
  <r>
    <s v="ORD01276"/>
    <d v="2024-01-07T00:00:00"/>
    <x v="293"/>
    <x v="0"/>
    <x v="4"/>
    <n v="3"/>
    <n v="780"/>
    <n v="2340"/>
  </r>
  <r>
    <s v="ORD01277"/>
    <d v="2023-12-21T00:00:00"/>
    <x v="175"/>
    <x v="2"/>
    <x v="3"/>
    <n v="2"/>
    <n v="975"/>
    <n v="1950"/>
  </r>
  <r>
    <s v="ORD01278"/>
    <d v="2023-07-18T00:00:00"/>
    <x v="270"/>
    <x v="2"/>
    <x v="3"/>
    <n v="5"/>
    <n v="591"/>
    <n v="2955"/>
  </r>
  <r>
    <s v="ORD01279"/>
    <d v="2023-08-04T00:00:00"/>
    <x v="117"/>
    <x v="3"/>
    <x v="1"/>
    <n v="2"/>
    <n v="363"/>
    <n v="726"/>
  </r>
  <r>
    <s v="ORD01280"/>
    <d v="2023-07-17T00:00:00"/>
    <x v="42"/>
    <x v="1"/>
    <x v="1"/>
    <n v="5"/>
    <n v="983"/>
    <n v="4915"/>
  </r>
  <r>
    <s v="ORD01281"/>
    <d v="2024-10-17T00:00:00"/>
    <x v="245"/>
    <x v="0"/>
    <x v="3"/>
    <n v="1"/>
    <n v="649"/>
    <n v="649"/>
  </r>
  <r>
    <s v="ORD01282"/>
    <d v="2024-10-03T00:00:00"/>
    <x v="33"/>
    <x v="1"/>
    <x v="3"/>
    <n v="1"/>
    <n v="743"/>
    <n v="743"/>
  </r>
  <r>
    <s v="ORD01283"/>
    <d v="2023-01-05T00:00:00"/>
    <x v="10"/>
    <x v="1"/>
    <x v="3"/>
    <n v="2"/>
    <n v="1000"/>
    <n v="2000"/>
  </r>
  <r>
    <s v="ORD01284"/>
    <d v="2023-07-14T00:00:00"/>
    <x v="189"/>
    <x v="1"/>
    <x v="4"/>
    <n v="5"/>
    <n v="534"/>
    <n v="2670"/>
  </r>
  <r>
    <s v="ORD01285"/>
    <d v="2024-02-21T00:00:00"/>
    <x v="147"/>
    <x v="1"/>
    <x v="0"/>
    <n v="1"/>
    <n v="908"/>
    <n v="908"/>
  </r>
  <r>
    <s v="ORD01286"/>
    <d v="2024-08-28T00:00:00"/>
    <x v="62"/>
    <x v="3"/>
    <x v="2"/>
    <n v="3"/>
    <n v="528"/>
    <n v="1584"/>
  </r>
  <r>
    <s v="ORD01287"/>
    <d v="2024-03-19T00:00:00"/>
    <x v="119"/>
    <x v="3"/>
    <x v="1"/>
    <n v="5"/>
    <n v="1128"/>
    <n v="5640"/>
  </r>
  <r>
    <s v="ORD01288"/>
    <d v="2024-03-12T00:00:00"/>
    <x v="231"/>
    <x v="0"/>
    <x v="3"/>
    <n v="2"/>
    <n v="698"/>
    <n v="1396"/>
  </r>
  <r>
    <s v="ORD01289"/>
    <d v="2024-10-11T00:00:00"/>
    <x v="90"/>
    <x v="0"/>
    <x v="2"/>
    <n v="2"/>
    <n v="1017"/>
    <n v="2034"/>
  </r>
  <r>
    <s v="ORD01290"/>
    <d v="2023-12-08T00:00:00"/>
    <x v="286"/>
    <x v="2"/>
    <x v="4"/>
    <n v="3"/>
    <n v="1087"/>
    <n v="3261"/>
  </r>
  <r>
    <s v="ORD01291"/>
    <d v="2023-03-07T00:00:00"/>
    <x v="25"/>
    <x v="1"/>
    <x v="1"/>
    <n v="3"/>
    <n v="408"/>
    <n v="1224"/>
  </r>
  <r>
    <s v="ORD01292"/>
    <d v="2023-09-03T00:00:00"/>
    <x v="185"/>
    <x v="2"/>
    <x v="3"/>
    <n v="3"/>
    <n v="366"/>
    <n v="1098"/>
  </r>
  <r>
    <s v="ORD01293"/>
    <d v="2024-03-02T00:00:00"/>
    <x v="171"/>
    <x v="0"/>
    <x v="4"/>
    <n v="5"/>
    <n v="780"/>
    <n v="3900"/>
  </r>
  <r>
    <s v="ORD01294"/>
    <d v="2024-02-17T00:00:00"/>
    <x v="119"/>
    <x v="2"/>
    <x v="2"/>
    <n v="4"/>
    <n v="189"/>
    <n v="756"/>
  </r>
  <r>
    <s v="ORD01295"/>
    <d v="2023-09-14T00:00:00"/>
    <x v="190"/>
    <x v="1"/>
    <x v="1"/>
    <n v="3"/>
    <n v="343"/>
    <n v="1029"/>
  </r>
  <r>
    <s v="ORD01296"/>
    <d v="2024-08-30T00:00:00"/>
    <x v="205"/>
    <x v="3"/>
    <x v="2"/>
    <n v="5"/>
    <n v="803"/>
    <n v="4015"/>
  </r>
  <r>
    <s v="ORD01297"/>
    <d v="2023-01-03T00:00:00"/>
    <x v="247"/>
    <x v="2"/>
    <x v="4"/>
    <n v="1"/>
    <n v="505"/>
    <n v="505"/>
  </r>
  <r>
    <s v="ORD01298"/>
    <d v="2024-09-18T00:00:00"/>
    <x v="113"/>
    <x v="1"/>
    <x v="2"/>
    <n v="2"/>
    <n v="397"/>
    <n v="794"/>
  </r>
  <r>
    <s v="ORD01299"/>
    <d v="2023-12-17T00:00:00"/>
    <x v="21"/>
    <x v="3"/>
    <x v="0"/>
    <n v="3"/>
    <n v="830"/>
    <n v="2490"/>
  </r>
  <r>
    <s v="ORD01300"/>
    <d v="2023-11-24T00:00:00"/>
    <x v="46"/>
    <x v="1"/>
    <x v="4"/>
    <n v="4"/>
    <n v="391"/>
    <n v="1564"/>
  </r>
  <r>
    <s v="ORD01301"/>
    <d v="2023-11-10T00:00:00"/>
    <x v="104"/>
    <x v="0"/>
    <x v="4"/>
    <n v="3"/>
    <n v="798"/>
    <n v="2394"/>
  </r>
  <r>
    <s v="ORD01302"/>
    <d v="2023-11-16T00:00:00"/>
    <x v="94"/>
    <x v="1"/>
    <x v="3"/>
    <n v="1"/>
    <n v="623"/>
    <n v="623"/>
  </r>
  <r>
    <s v="ORD01303"/>
    <d v="2023-06-20T00:00:00"/>
    <x v="13"/>
    <x v="0"/>
    <x v="2"/>
    <n v="2"/>
    <n v="714"/>
    <n v="1428"/>
  </r>
  <r>
    <s v="ORD01304"/>
    <d v="2023-07-08T00:00:00"/>
    <x v="253"/>
    <x v="1"/>
    <x v="3"/>
    <n v="4"/>
    <n v="1021"/>
    <n v="4084"/>
  </r>
  <r>
    <s v="ORD01305"/>
    <d v="2024-07-24T00:00:00"/>
    <x v="220"/>
    <x v="1"/>
    <x v="1"/>
    <n v="3"/>
    <n v="521"/>
    <n v="1563"/>
  </r>
  <r>
    <s v="ORD01306"/>
    <d v="2023-11-30T00:00:00"/>
    <x v="292"/>
    <x v="0"/>
    <x v="2"/>
    <n v="3"/>
    <n v="1033"/>
    <n v="3099"/>
  </r>
  <r>
    <s v="ORD01307"/>
    <d v="2024-09-05T00:00:00"/>
    <x v="4"/>
    <x v="3"/>
    <x v="3"/>
    <n v="5"/>
    <n v="1152"/>
    <n v="5760"/>
  </r>
  <r>
    <s v="ORD01308"/>
    <d v="2023-11-02T00:00:00"/>
    <x v="42"/>
    <x v="0"/>
    <x v="1"/>
    <n v="5"/>
    <n v="1189"/>
    <n v="5945"/>
  </r>
  <r>
    <s v="ORD01309"/>
    <d v="2024-11-14T00:00:00"/>
    <x v="176"/>
    <x v="0"/>
    <x v="4"/>
    <n v="5"/>
    <n v="181"/>
    <n v="905"/>
  </r>
  <r>
    <s v="ORD01310"/>
    <d v="2023-06-06T00:00:00"/>
    <x v="9"/>
    <x v="2"/>
    <x v="3"/>
    <n v="3"/>
    <n v="583"/>
    <n v="1749"/>
  </r>
  <r>
    <s v="ORD01311"/>
    <d v="2023-10-26T00:00:00"/>
    <x v="126"/>
    <x v="0"/>
    <x v="2"/>
    <n v="5"/>
    <n v="1001"/>
    <n v="5005"/>
  </r>
  <r>
    <s v="ORD01312"/>
    <d v="2024-01-24T00:00:00"/>
    <x v="206"/>
    <x v="1"/>
    <x v="2"/>
    <n v="5"/>
    <n v="116"/>
    <n v="580"/>
  </r>
  <r>
    <s v="ORD01313"/>
    <d v="2023-12-23T00:00:00"/>
    <x v="235"/>
    <x v="2"/>
    <x v="0"/>
    <n v="1"/>
    <n v="963"/>
    <n v="963"/>
  </r>
  <r>
    <s v="ORD01314"/>
    <d v="2024-01-16T00:00:00"/>
    <x v="12"/>
    <x v="3"/>
    <x v="1"/>
    <n v="3"/>
    <n v="1045"/>
    <n v="3135"/>
  </r>
  <r>
    <s v="ORD01315"/>
    <d v="2023-06-04T00:00:00"/>
    <x v="148"/>
    <x v="0"/>
    <x v="0"/>
    <n v="1"/>
    <n v="338"/>
    <n v="338"/>
  </r>
  <r>
    <s v="ORD01316"/>
    <d v="2024-06-30T00:00:00"/>
    <x v="269"/>
    <x v="0"/>
    <x v="4"/>
    <n v="3"/>
    <n v="1116"/>
    <n v="3348"/>
  </r>
  <r>
    <s v="ORD01317"/>
    <d v="2023-02-28T00:00:00"/>
    <x v="74"/>
    <x v="3"/>
    <x v="2"/>
    <n v="2"/>
    <n v="691"/>
    <n v="1382"/>
  </r>
  <r>
    <s v="ORD01318"/>
    <d v="2023-10-28T00:00:00"/>
    <x v="59"/>
    <x v="3"/>
    <x v="3"/>
    <n v="1"/>
    <n v="170"/>
    <n v="170"/>
  </r>
  <r>
    <s v="ORD01319"/>
    <d v="2023-10-31T00:00:00"/>
    <x v="155"/>
    <x v="0"/>
    <x v="2"/>
    <n v="3"/>
    <n v="220"/>
    <n v="660"/>
  </r>
  <r>
    <s v="ORD01320"/>
    <d v="2024-08-18T00:00:00"/>
    <x v="191"/>
    <x v="0"/>
    <x v="1"/>
    <n v="1"/>
    <n v="857"/>
    <n v="857"/>
  </r>
  <r>
    <s v="ORD01321"/>
    <d v="2024-05-06T00:00:00"/>
    <x v="249"/>
    <x v="1"/>
    <x v="0"/>
    <n v="1"/>
    <n v="907"/>
    <n v="907"/>
  </r>
  <r>
    <s v="ORD01322"/>
    <d v="2023-12-24T00:00:00"/>
    <x v="136"/>
    <x v="2"/>
    <x v="0"/>
    <n v="5"/>
    <n v="116"/>
    <n v="580"/>
  </r>
  <r>
    <s v="ORD01323"/>
    <d v="2024-10-24T00:00:00"/>
    <x v="288"/>
    <x v="2"/>
    <x v="4"/>
    <n v="3"/>
    <n v="107"/>
    <n v="321"/>
  </r>
  <r>
    <s v="ORD01324"/>
    <d v="2023-11-20T00:00:00"/>
    <x v="296"/>
    <x v="2"/>
    <x v="1"/>
    <n v="5"/>
    <n v="419"/>
    <n v="2095"/>
  </r>
  <r>
    <s v="ORD01325"/>
    <d v="2023-08-23T00:00:00"/>
    <x v="192"/>
    <x v="0"/>
    <x v="2"/>
    <n v="2"/>
    <n v="522"/>
    <n v="1044"/>
  </r>
  <r>
    <s v="ORD01326"/>
    <d v="2024-11-25T00:00:00"/>
    <x v="222"/>
    <x v="3"/>
    <x v="4"/>
    <n v="2"/>
    <n v="1148"/>
    <n v="2296"/>
  </r>
  <r>
    <s v="ORD01327"/>
    <d v="2024-10-29T00:00:00"/>
    <x v="6"/>
    <x v="1"/>
    <x v="4"/>
    <n v="5"/>
    <n v="905"/>
    <n v="4525"/>
  </r>
  <r>
    <s v="ORD01328"/>
    <d v="2024-10-08T00:00:00"/>
    <x v="296"/>
    <x v="3"/>
    <x v="2"/>
    <n v="4"/>
    <n v="396"/>
    <n v="1584"/>
  </r>
  <r>
    <s v="ORD01329"/>
    <d v="2024-07-18T00:00:00"/>
    <x v="137"/>
    <x v="1"/>
    <x v="1"/>
    <n v="4"/>
    <n v="221"/>
    <n v="884"/>
  </r>
  <r>
    <s v="ORD01330"/>
    <d v="2024-03-24T00:00:00"/>
    <x v="218"/>
    <x v="1"/>
    <x v="0"/>
    <n v="1"/>
    <n v="231"/>
    <n v="231"/>
  </r>
  <r>
    <s v="ORD01331"/>
    <d v="2024-04-08T00:00:00"/>
    <x v="99"/>
    <x v="0"/>
    <x v="0"/>
    <n v="4"/>
    <n v="969"/>
    <n v="3876"/>
  </r>
  <r>
    <s v="ORD01332"/>
    <d v="2023-12-28T00:00:00"/>
    <x v="31"/>
    <x v="0"/>
    <x v="3"/>
    <n v="1"/>
    <n v="871"/>
    <n v="871"/>
  </r>
  <r>
    <s v="ORD01333"/>
    <d v="2023-08-28T00:00:00"/>
    <x v="252"/>
    <x v="3"/>
    <x v="3"/>
    <n v="2"/>
    <n v="460"/>
    <n v="920"/>
  </r>
  <r>
    <s v="ORD01334"/>
    <d v="2023-10-14T00:00:00"/>
    <x v="69"/>
    <x v="1"/>
    <x v="0"/>
    <n v="1"/>
    <n v="171"/>
    <n v="171"/>
  </r>
  <r>
    <s v="ORD01335"/>
    <d v="2024-01-03T00:00:00"/>
    <x v="277"/>
    <x v="3"/>
    <x v="2"/>
    <n v="1"/>
    <n v="537"/>
    <n v="537"/>
  </r>
  <r>
    <s v="ORD01336"/>
    <d v="2024-10-26T00:00:00"/>
    <x v="210"/>
    <x v="3"/>
    <x v="1"/>
    <n v="5"/>
    <n v="1195"/>
    <n v="5975"/>
  </r>
  <r>
    <s v="ORD01337"/>
    <d v="2024-05-17T00:00:00"/>
    <x v="188"/>
    <x v="0"/>
    <x v="3"/>
    <n v="3"/>
    <n v="530"/>
    <n v="1590"/>
  </r>
  <r>
    <s v="ORD01338"/>
    <d v="2023-02-20T00:00:00"/>
    <x v="29"/>
    <x v="3"/>
    <x v="4"/>
    <n v="1"/>
    <n v="1158"/>
    <n v="1158"/>
  </r>
  <r>
    <s v="ORD01339"/>
    <d v="2023-02-23T00:00:00"/>
    <x v="207"/>
    <x v="3"/>
    <x v="3"/>
    <n v="1"/>
    <n v="316"/>
    <n v="316"/>
  </r>
  <r>
    <s v="ORD01340"/>
    <d v="2024-04-03T00:00:00"/>
    <x v="278"/>
    <x v="1"/>
    <x v="0"/>
    <n v="4"/>
    <n v="889"/>
    <n v="3556"/>
  </r>
  <r>
    <s v="ORD01341"/>
    <d v="2024-10-09T00:00:00"/>
    <x v="152"/>
    <x v="0"/>
    <x v="2"/>
    <n v="1"/>
    <n v="201"/>
    <n v="201"/>
  </r>
  <r>
    <s v="ORD01342"/>
    <d v="2024-08-22T00:00:00"/>
    <x v="31"/>
    <x v="2"/>
    <x v="4"/>
    <n v="1"/>
    <n v="630"/>
    <n v="630"/>
  </r>
  <r>
    <s v="ORD01343"/>
    <d v="2023-10-17T00:00:00"/>
    <x v="1"/>
    <x v="1"/>
    <x v="3"/>
    <n v="5"/>
    <n v="321"/>
    <n v="1605"/>
  </r>
  <r>
    <s v="ORD01344"/>
    <d v="2024-05-24T00:00:00"/>
    <x v="171"/>
    <x v="0"/>
    <x v="3"/>
    <n v="1"/>
    <n v="692"/>
    <n v="692"/>
  </r>
  <r>
    <s v="ORD01345"/>
    <d v="2023-10-12T00:00:00"/>
    <x v="159"/>
    <x v="1"/>
    <x v="2"/>
    <n v="4"/>
    <n v="611"/>
    <n v="2444"/>
  </r>
  <r>
    <s v="ORD01346"/>
    <d v="2023-11-16T00:00:00"/>
    <x v="134"/>
    <x v="2"/>
    <x v="2"/>
    <n v="2"/>
    <n v="999"/>
    <n v="1998"/>
  </r>
  <r>
    <s v="ORD01347"/>
    <d v="2023-05-17T00:00:00"/>
    <x v="142"/>
    <x v="1"/>
    <x v="3"/>
    <n v="5"/>
    <n v="370"/>
    <n v="1850"/>
  </r>
  <r>
    <s v="ORD01348"/>
    <d v="2024-09-10T00:00:00"/>
    <x v="45"/>
    <x v="0"/>
    <x v="4"/>
    <n v="1"/>
    <n v="606"/>
    <n v="606"/>
  </r>
  <r>
    <s v="ORD01349"/>
    <d v="2024-06-15T00:00:00"/>
    <x v="76"/>
    <x v="1"/>
    <x v="4"/>
    <n v="2"/>
    <n v="579"/>
    <n v="1158"/>
  </r>
  <r>
    <s v="ORD01350"/>
    <d v="2024-02-15T00:00:00"/>
    <x v="226"/>
    <x v="2"/>
    <x v="4"/>
    <n v="5"/>
    <n v="464"/>
    <n v="2320"/>
  </r>
  <r>
    <s v="ORD01351"/>
    <d v="2024-09-06T00:00:00"/>
    <x v="268"/>
    <x v="3"/>
    <x v="3"/>
    <n v="4"/>
    <n v="183"/>
    <n v="732"/>
  </r>
  <r>
    <s v="ORD01352"/>
    <d v="2024-04-02T00:00:00"/>
    <x v="262"/>
    <x v="3"/>
    <x v="4"/>
    <n v="3"/>
    <n v="729"/>
    <n v="2187"/>
  </r>
  <r>
    <s v="ORD01353"/>
    <d v="2024-10-02T00:00:00"/>
    <x v="8"/>
    <x v="3"/>
    <x v="0"/>
    <n v="4"/>
    <n v="309"/>
    <n v="1236"/>
  </r>
  <r>
    <s v="ORD01354"/>
    <d v="2023-06-16T00:00:00"/>
    <x v="239"/>
    <x v="0"/>
    <x v="4"/>
    <n v="4"/>
    <n v="831"/>
    <n v="3324"/>
  </r>
  <r>
    <s v="ORD01355"/>
    <d v="2024-02-19T00:00:00"/>
    <x v="88"/>
    <x v="2"/>
    <x v="2"/>
    <n v="4"/>
    <n v="393"/>
    <n v="1572"/>
  </r>
  <r>
    <s v="ORD01356"/>
    <d v="2023-02-02T00:00:00"/>
    <x v="58"/>
    <x v="1"/>
    <x v="3"/>
    <n v="5"/>
    <n v="1128"/>
    <n v="5640"/>
  </r>
  <r>
    <s v="ORD01357"/>
    <d v="2024-05-12T00:00:00"/>
    <x v="263"/>
    <x v="2"/>
    <x v="4"/>
    <n v="5"/>
    <n v="173"/>
    <n v="865"/>
  </r>
  <r>
    <s v="ORD01358"/>
    <d v="2023-06-06T00:00:00"/>
    <x v="297"/>
    <x v="3"/>
    <x v="3"/>
    <n v="5"/>
    <n v="178"/>
    <n v="890"/>
  </r>
  <r>
    <s v="ORD01359"/>
    <d v="2024-10-08T00:00:00"/>
    <x v="183"/>
    <x v="2"/>
    <x v="2"/>
    <n v="1"/>
    <n v="537"/>
    <n v="537"/>
  </r>
  <r>
    <s v="ORD01360"/>
    <d v="2023-10-01T00:00:00"/>
    <x v="280"/>
    <x v="2"/>
    <x v="4"/>
    <n v="2"/>
    <n v="734"/>
    <n v="1468"/>
  </r>
  <r>
    <s v="ORD01361"/>
    <d v="2024-07-23T00:00:00"/>
    <x v="295"/>
    <x v="0"/>
    <x v="2"/>
    <n v="2"/>
    <n v="1069"/>
    <n v="2138"/>
  </r>
  <r>
    <s v="ORD01362"/>
    <d v="2023-11-16T00:00:00"/>
    <x v="292"/>
    <x v="0"/>
    <x v="2"/>
    <n v="1"/>
    <n v="283"/>
    <n v="283"/>
  </r>
  <r>
    <s v="ORD01363"/>
    <d v="2023-03-02T00:00:00"/>
    <x v="35"/>
    <x v="3"/>
    <x v="1"/>
    <n v="5"/>
    <n v="880"/>
    <n v="4400"/>
  </r>
  <r>
    <s v="ORD01364"/>
    <d v="2023-10-12T00:00:00"/>
    <x v="265"/>
    <x v="0"/>
    <x v="4"/>
    <n v="5"/>
    <n v="183"/>
    <n v="915"/>
  </r>
  <r>
    <s v="ORD01365"/>
    <d v="2023-09-27T00:00:00"/>
    <x v="117"/>
    <x v="2"/>
    <x v="1"/>
    <n v="5"/>
    <n v="1168"/>
    <n v="5840"/>
  </r>
  <r>
    <s v="ORD01366"/>
    <d v="2024-11-19T00:00:00"/>
    <x v="145"/>
    <x v="2"/>
    <x v="4"/>
    <n v="1"/>
    <n v="1041"/>
    <n v="1041"/>
  </r>
  <r>
    <s v="ORD01367"/>
    <d v="2024-04-20T00:00:00"/>
    <x v="269"/>
    <x v="0"/>
    <x v="1"/>
    <n v="3"/>
    <n v="1102"/>
    <n v="3306"/>
  </r>
  <r>
    <s v="ORD01368"/>
    <d v="2024-05-08T00:00:00"/>
    <x v="11"/>
    <x v="2"/>
    <x v="1"/>
    <n v="4"/>
    <n v="120"/>
    <n v="480"/>
  </r>
  <r>
    <s v="ORD01369"/>
    <d v="2023-01-22T00:00:00"/>
    <x v="9"/>
    <x v="2"/>
    <x v="1"/>
    <n v="3"/>
    <n v="1088"/>
    <n v="3264"/>
  </r>
  <r>
    <s v="ORD01370"/>
    <d v="2024-10-09T00:00:00"/>
    <x v="271"/>
    <x v="3"/>
    <x v="3"/>
    <n v="2"/>
    <n v="974"/>
    <n v="1948"/>
  </r>
  <r>
    <s v="ORD01371"/>
    <d v="2023-12-20T00:00:00"/>
    <x v="223"/>
    <x v="1"/>
    <x v="4"/>
    <n v="5"/>
    <n v="698"/>
    <n v="3490"/>
  </r>
  <r>
    <s v="ORD01372"/>
    <d v="2024-07-13T00:00:00"/>
    <x v="235"/>
    <x v="2"/>
    <x v="2"/>
    <n v="4"/>
    <n v="377"/>
    <n v="1508"/>
  </r>
  <r>
    <s v="ORD01373"/>
    <d v="2024-02-01T00:00:00"/>
    <x v="298"/>
    <x v="0"/>
    <x v="3"/>
    <n v="5"/>
    <n v="1012"/>
    <n v="5060"/>
  </r>
  <r>
    <s v="ORD01374"/>
    <d v="2024-04-15T00:00:00"/>
    <x v="25"/>
    <x v="0"/>
    <x v="1"/>
    <n v="5"/>
    <n v="334"/>
    <n v="1670"/>
  </r>
  <r>
    <s v="ORD01375"/>
    <d v="2023-07-15T00:00:00"/>
    <x v="234"/>
    <x v="1"/>
    <x v="4"/>
    <n v="2"/>
    <n v="412"/>
    <n v="824"/>
  </r>
  <r>
    <s v="ORD01376"/>
    <d v="2023-06-16T00:00:00"/>
    <x v="165"/>
    <x v="3"/>
    <x v="1"/>
    <n v="4"/>
    <n v="1190"/>
    <n v="4760"/>
  </r>
  <r>
    <s v="ORD01377"/>
    <d v="2023-09-11T00:00:00"/>
    <x v="220"/>
    <x v="1"/>
    <x v="3"/>
    <n v="3"/>
    <n v="555"/>
    <n v="1665"/>
  </r>
  <r>
    <s v="ORD01378"/>
    <d v="2023-12-24T00:00:00"/>
    <x v="225"/>
    <x v="1"/>
    <x v="4"/>
    <n v="5"/>
    <n v="1114"/>
    <n v="5570"/>
  </r>
  <r>
    <s v="ORD01379"/>
    <d v="2024-01-07T00:00:00"/>
    <x v="189"/>
    <x v="0"/>
    <x v="1"/>
    <n v="1"/>
    <n v="213"/>
    <n v="213"/>
  </r>
  <r>
    <s v="ORD01380"/>
    <d v="2024-11-04T00:00:00"/>
    <x v="141"/>
    <x v="2"/>
    <x v="4"/>
    <n v="3"/>
    <n v="1058"/>
    <n v="3174"/>
  </r>
  <r>
    <s v="ORD01381"/>
    <d v="2023-10-18T00:00:00"/>
    <x v="49"/>
    <x v="1"/>
    <x v="2"/>
    <n v="5"/>
    <n v="286"/>
    <n v="1430"/>
  </r>
  <r>
    <s v="ORD01382"/>
    <d v="2023-09-09T00:00:00"/>
    <x v="73"/>
    <x v="3"/>
    <x v="4"/>
    <n v="3"/>
    <n v="1038"/>
    <n v="3114"/>
  </r>
  <r>
    <s v="ORD01383"/>
    <d v="2024-06-14T00:00:00"/>
    <x v="112"/>
    <x v="3"/>
    <x v="0"/>
    <n v="4"/>
    <n v="1007"/>
    <n v="4028"/>
  </r>
  <r>
    <s v="ORD01384"/>
    <d v="2023-04-30T00:00:00"/>
    <x v="127"/>
    <x v="2"/>
    <x v="0"/>
    <n v="5"/>
    <n v="782"/>
    <n v="3910"/>
  </r>
  <r>
    <s v="ORD01385"/>
    <d v="2024-11-27T00:00:00"/>
    <x v="19"/>
    <x v="1"/>
    <x v="4"/>
    <n v="3"/>
    <n v="263"/>
    <n v="789"/>
  </r>
  <r>
    <s v="ORD01386"/>
    <d v="2023-02-16T00:00:00"/>
    <x v="212"/>
    <x v="1"/>
    <x v="1"/>
    <n v="2"/>
    <n v="1114"/>
    <n v="2228"/>
  </r>
  <r>
    <s v="ORD01387"/>
    <d v="2024-01-02T00:00:00"/>
    <x v="297"/>
    <x v="3"/>
    <x v="0"/>
    <n v="2"/>
    <n v="473"/>
    <n v="946"/>
  </r>
  <r>
    <s v="ORD01388"/>
    <d v="2023-12-04T00:00:00"/>
    <x v="15"/>
    <x v="2"/>
    <x v="2"/>
    <n v="3"/>
    <n v="1015"/>
    <n v="3045"/>
  </r>
  <r>
    <s v="ORD01389"/>
    <d v="2024-03-01T00:00:00"/>
    <x v="270"/>
    <x v="0"/>
    <x v="1"/>
    <n v="3"/>
    <n v="867"/>
    <n v="2601"/>
  </r>
  <r>
    <s v="ORD01390"/>
    <d v="2024-04-06T00:00:00"/>
    <x v="3"/>
    <x v="3"/>
    <x v="3"/>
    <n v="3"/>
    <n v="817"/>
    <n v="2451"/>
  </r>
  <r>
    <s v="ORD01391"/>
    <d v="2023-10-06T00:00:00"/>
    <x v="239"/>
    <x v="0"/>
    <x v="3"/>
    <n v="4"/>
    <n v="676"/>
    <n v="2704"/>
  </r>
  <r>
    <s v="ORD01392"/>
    <d v="2023-10-07T00:00:00"/>
    <x v="268"/>
    <x v="2"/>
    <x v="2"/>
    <n v="5"/>
    <n v="416"/>
    <n v="2080"/>
  </r>
  <r>
    <s v="ORD01393"/>
    <d v="2023-09-12T00:00:00"/>
    <x v="113"/>
    <x v="3"/>
    <x v="2"/>
    <n v="3"/>
    <n v="234"/>
    <n v="702"/>
  </r>
  <r>
    <s v="ORD01394"/>
    <d v="2023-02-04T00:00:00"/>
    <x v="208"/>
    <x v="2"/>
    <x v="4"/>
    <n v="2"/>
    <n v="1066"/>
    <n v="2132"/>
  </r>
  <r>
    <s v="ORD01395"/>
    <d v="2024-01-22T00:00:00"/>
    <x v="141"/>
    <x v="0"/>
    <x v="4"/>
    <n v="1"/>
    <n v="951"/>
    <n v="951"/>
  </r>
  <r>
    <s v="ORD01396"/>
    <d v="2024-02-05T00:00:00"/>
    <x v="155"/>
    <x v="1"/>
    <x v="4"/>
    <n v="4"/>
    <n v="699"/>
    <n v="2796"/>
  </r>
  <r>
    <s v="ORD01397"/>
    <d v="2023-03-18T00:00:00"/>
    <x v="265"/>
    <x v="2"/>
    <x v="1"/>
    <n v="4"/>
    <n v="774"/>
    <n v="3096"/>
  </r>
  <r>
    <s v="ORD01398"/>
    <d v="2024-03-25T00:00:00"/>
    <x v="191"/>
    <x v="1"/>
    <x v="2"/>
    <n v="1"/>
    <n v="319"/>
    <n v="319"/>
  </r>
  <r>
    <s v="ORD01399"/>
    <d v="2024-04-28T00:00:00"/>
    <x v="76"/>
    <x v="0"/>
    <x v="3"/>
    <n v="1"/>
    <n v="932"/>
    <n v="932"/>
  </r>
  <r>
    <s v="ORD01400"/>
    <d v="2024-06-22T00:00:00"/>
    <x v="118"/>
    <x v="3"/>
    <x v="0"/>
    <n v="1"/>
    <n v="197"/>
    <n v="197"/>
  </r>
  <r>
    <s v="ORD01401"/>
    <d v="2024-10-25T00:00:00"/>
    <x v="122"/>
    <x v="2"/>
    <x v="1"/>
    <n v="5"/>
    <n v="663"/>
    <n v="3315"/>
  </r>
  <r>
    <s v="ORD01402"/>
    <d v="2023-12-01T00:00:00"/>
    <x v="265"/>
    <x v="3"/>
    <x v="2"/>
    <n v="2"/>
    <n v="448"/>
    <n v="896"/>
  </r>
  <r>
    <s v="ORD01403"/>
    <d v="2023-02-15T00:00:00"/>
    <x v="107"/>
    <x v="0"/>
    <x v="0"/>
    <n v="2"/>
    <n v="722"/>
    <n v="1444"/>
  </r>
  <r>
    <s v="ORD01404"/>
    <d v="2023-05-29T00:00:00"/>
    <x v="106"/>
    <x v="2"/>
    <x v="2"/>
    <n v="5"/>
    <n v="1145"/>
    <n v="5725"/>
  </r>
  <r>
    <s v="ORD01405"/>
    <d v="2024-04-17T00:00:00"/>
    <x v="57"/>
    <x v="0"/>
    <x v="4"/>
    <n v="4"/>
    <n v="156"/>
    <n v="624"/>
  </r>
  <r>
    <s v="ORD01406"/>
    <d v="2023-10-09T00:00:00"/>
    <x v="94"/>
    <x v="1"/>
    <x v="3"/>
    <n v="5"/>
    <n v="880"/>
    <n v="4400"/>
  </r>
  <r>
    <s v="ORD01407"/>
    <d v="2023-12-31T00:00:00"/>
    <x v="114"/>
    <x v="2"/>
    <x v="3"/>
    <n v="2"/>
    <n v="979"/>
    <n v="1958"/>
  </r>
  <r>
    <s v="ORD01408"/>
    <d v="2024-11-24T00:00:00"/>
    <x v="1"/>
    <x v="2"/>
    <x v="1"/>
    <n v="3"/>
    <n v="452"/>
    <n v="1356"/>
  </r>
  <r>
    <s v="ORD01409"/>
    <d v="2023-09-05T00:00:00"/>
    <x v="76"/>
    <x v="1"/>
    <x v="4"/>
    <n v="5"/>
    <n v="932"/>
    <n v="4660"/>
  </r>
  <r>
    <s v="ORD01410"/>
    <d v="2024-09-13T00:00:00"/>
    <x v="92"/>
    <x v="1"/>
    <x v="1"/>
    <n v="5"/>
    <n v="1169"/>
    <n v="5845"/>
  </r>
  <r>
    <s v="ORD01411"/>
    <d v="2023-06-22T00:00:00"/>
    <x v="106"/>
    <x v="0"/>
    <x v="2"/>
    <n v="2"/>
    <n v="547"/>
    <n v="1094"/>
  </r>
  <r>
    <s v="ORD01412"/>
    <d v="2024-09-14T00:00:00"/>
    <x v="237"/>
    <x v="1"/>
    <x v="2"/>
    <n v="2"/>
    <n v="365"/>
    <n v="730"/>
  </r>
  <r>
    <s v="ORD01413"/>
    <d v="2023-04-08T00:00:00"/>
    <x v="287"/>
    <x v="0"/>
    <x v="0"/>
    <n v="4"/>
    <n v="364"/>
    <n v="1456"/>
  </r>
  <r>
    <s v="ORD01414"/>
    <d v="2023-04-16T00:00:00"/>
    <x v="113"/>
    <x v="1"/>
    <x v="0"/>
    <n v="1"/>
    <n v="785"/>
    <n v="785"/>
  </r>
  <r>
    <s v="ORD01415"/>
    <d v="2023-04-07T00:00:00"/>
    <x v="259"/>
    <x v="0"/>
    <x v="2"/>
    <n v="2"/>
    <n v="954"/>
    <n v="1908"/>
  </r>
  <r>
    <s v="ORD01416"/>
    <d v="2024-10-15T00:00:00"/>
    <x v="65"/>
    <x v="1"/>
    <x v="2"/>
    <n v="1"/>
    <n v="581"/>
    <n v="581"/>
  </r>
  <r>
    <s v="ORD01417"/>
    <d v="2023-11-28T00:00:00"/>
    <x v="283"/>
    <x v="0"/>
    <x v="3"/>
    <n v="4"/>
    <n v="892"/>
    <n v="3568"/>
  </r>
  <r>
    <s v="ORD01418"/>
    <d v="2023-08-27T00:00:00"/>
    <x v="223"/>
    <x v="0"/>
    <x v="0"/>
    <n v="5"/>
    <n v="208"/>
    <n v="1040"/>
  </r>
  <r>
    <s v="ORD01419"/>
    <d v="2023-10-19T00:00:00"/>
    <x v="46"/>
    <x v="2"/>
    <x v="2"/>
    <n v="2"/>
    <n v="1092"/>
    <n v="2184"/>
  </r>
  <r>
    <s v="ORD01420"/>
    <d v="2024-07-08T00:00:00"/>
    <x v="89"/>
    <x v="1"/>
    <x v="2"/>
    <n v="3"/>
    <n v="327"/>
    <n v="981"/>
  </r>
  <r>
    <s v="ORD01421"/>
    <d v="2024-10-02T00:00:00"/>
    <x v="291"/>
    <x v="1"/>
    <x v="2"/>
    <n v="3"/>
    <n v="103"/>
    <n v="309"/>
  </r>
  <r>
    <s v="ORD01422"/>
    <d v="2024-01-04T00:00:00"/>
    <x v="258"/>
    <x v="0"/>
    <x v="1"/>
    <n v="4"/>
    <n v="145"/>
    <n v="580"/>
  </r>
  <r>
    <s v="ORD01423"/>
    <d v="2023-03-20T00:00:00"/>
    <x v="133"/>
    <x v="2"/>
    <x v="0"/>
    <n v="3"/>
    <n v="432"/>
    <n v="1296"/>
  </r>
  <r>
    <s v="ORD01424"/>
    <d v="2023-02-10T00:00:00"/>
    <x v="256"/>
    <x v="2"/>
    <x v="2"/>
    <n v="5"/>
    <n v="1153"/>
    <n v="5765"/>
  </r>
  <r>
    <s v="ORD01425"/>
    <d v="2023-07-14T00:00:00"/>
    <x v="177"/>
    <x v="3"/>
    <x v="2"/>
    <n v="1"/>
    <n v="1171"/>
    <n v="1171"/>
  </r>
  <r>
    <s v="ORD01426"/>
    <d v="2023-05-22T00:00:00"/>
    <x v="248"/>
    <x v="0"/>
    <x v="2"/>
    <n v="4"/>
    <n v="227"/>
    <n v="908"/>
  </r>
  <r>
    <s v="ORD01427"/>
    <d v="2023-03-20T00:00:00"/>
    <x v="52"/>
    <x v="3"/>
    <x v="1"/>
    <n v="3"/>
    <n v="283"/>
    <n v="849"/>
  </r>
  <r>
    <s v="ORD01428"/>
    <d v="2024-01-17T00:00:00"/>
    <x v="125"/>
    <x v="2"/>
    <x v="4"/>
    <n v="3"/>
    <n v="403"/>
    <n v="1209"/>
  </r>
  <r>
    <s v="ORD01429"/>
    <d v="2023-08-21T00:00:00"/>
    <x v="55"/>
    <x v="1"/>
    <x v="0"/>
    <n v="2"/>
    <n v="115"/>
    <n v="230"/>
  </r>
  <r>
    <s v="ORD01430"/>
    <d v="2024-08-05T00:00:00"/>
    <x v="295"/>
    <x v="2"/>
    <x v="2"/>
    <n v="1"/>
    <n v="709"/>
    <n v="709"/>
  </r>
  <r>
    <s v="ORD01431"/>
    <d v="2023-05-14T00:00:00"/>
    <x v="86"/>
    <x v="0"/>
    <x v="0"/>
    <n v="2"/>
    <n v="477"/>
    <n v="954"/>
  </r>
  <r>
    <s v="ORD01432"/>
    <d v="2024-10-22T00:00:00"/>
    <x v="296"/>
    <x v="1"/>
    <x v="0"/>
    <n v="2"/>
    <n v="517"/>
    <n v="1034"/>
  </r>
  <r>
    <s v="ORD01433"/>
    <d v="2023-02-03T00:00:00"/>
    <x v="21"/>
    <x v="1"/>
    <x v="0"/>
    <n v="4"/>
    <n v="485"/>
    <n v="1940"/>
  </r>
  <r>
    <s v="ORD01434"/>
    <d v="2023-05-27T00:00:00"/>
    <x v="5"/>
    <x v="3"/>
    <x v="1"/>
    <n v="2"/>
    <n v="983"/>
    <n v="1966"/>
  </r>
  <r>
    <s v="ORD01435"/>
    <d v="2023-08-29T00:00:00"/>
    <x v="135"/>
    <x v="2"/>
    <x v="4"/>
    <n v="1"/>
    <n v="664"/>
    <n v="664"/>
  </r>
  <r>
    <s v="ORD01436"/>
    <d v="2024-03-22T00:00:00"/>
    <x v="52"/>
    <x v="3"/>
    <x v="4"/>
    <n v="5"/>
    <n v="683"/>
    <n v="3415"/>
  </r>
  <r>
    <s v="ORD01437"/>
    <d v="2023-09-08T00:00:00"/>
    <x v="10"/>
    <x v="0"/>
    <x v="2"/>
    <n v="2"/>
    <n v="1162"/>
    <n v="2324"/>
  </r>
  <r>
    <s v="ORD01438"/>
    <d v="2024-01-06T00:00:00"/>
    <x v="234"/>
    <x v="0"/>
    <x v="1"/>
    <n v="1"/>
    <n v="908"/>
    <n v="908"/>
  </r>
  <r>
    <s v="ORD01439"/>
    <d v="2023-11-28T00:00:00"/>
    <x v="71"/>
    <x v="0"/>
    <x v="4"/>
    <n v="5"/>
    <n v="718"/>
    <n v="3590"/>
  </r>
  <r>
    <s v="ORD01440"/>
    <d v="2023-10-23T00:00:00"/>
    <x v="215"/>
    <x v="0"/>
    <x v="3"/>
    <n v="4"/>
    <n v="1096"/>
    <n v="4384"/>
  </r>
  <r>
    <s v="ORD01441"/>
    <d v="2023-04-15T00:00:00"/>
    <x v="8"/>
    <x v="0"/>
    <x v="4"/>
    <n v="5"/>
    <n v="619"/>
    <n v="3095"/>
  </r>
  <r>
    <s v="ORD01442"/>
    <d v="2024-06-20T00:00:00"/>
    <x v="79"/>
    <x v="2"/>
    <x v="1"/>
    <n v="2"/>
    <n v="702"/>
    <n v="1404"/>
  </r>
  <r>
    <s v="ORD01443"/>
    <d v="2024-02-18T00:00:00"/>
    <x v="186"/>
    <x v="1"/>
    <x v="3"/>
    <n v="4"/>
    <n v="1134"/>
    <n v="4536"/>
  </r>
  <r>
    <s v="ORD01444"/>
    <d v="2023-02-22T00:00:00"/>
    <x v="170"/>
    <x v="0"/>
    <x v="4"/>
    <n v="1"/>
    <n v="537"/>
    <n v="537"/>
  </r>
  <r>
    <s v="ORD01445"/>
    <d v="2023-11-14T00:00:00"/>
    <x v="67"/>
    <x v="2"/>
    <x v="3"/>
    <n v="3"/>
    <n v="645"/>
    <n v="1935"/>
  </r>
  <r>
    <s v="ORD01446"/>
    <d v="2024-09-29T00:00:00"/>
    <x v="55"/>
    <x v="0"/>
    <x v="4"/>
    <n v="3"/>
    <n v="162"/>
    <n v="486"/>
  </r>
  <r>
    <s v="ORD01447"/>
    <d v="2024-09-19T00:00:00"/>
    <x v="14"/>
    <x v="0"/>
    <x v="0"/>
    <n v="2"/>
    <n v="1142"/>
    <n v="2284"/>
  </r>
  <r>
    <s v="ORD01448"/>
    <d v="2023-01-03T00:00:00"/>
    <x v="54"/>
    <x v="3"/>
    <x v="4"/>
    <n v="4"/>
    <n v="708"/>
    <n v="2832"/>
  </r>
  <r>
    <s v="ORD01449"/>
    <d v="2024-12-01T00:00:00"/>
    <x v="134"/>
    <x v="0"/>
    <x v="4"/>
    <n v="5"/>
    <n v="1079"/>
    <n v="5395"/>
  </r>
  <r>
    <s v="ORD01450"/>
    <d v="2023-03-26T00:00:00"/>
    <x v="103"/>
    <x v="0"/>
    <x v="2"/>
    <n v="1"/>
    <n v="370"/>
    <n v="370"/>
  </r>
  <r>
    <s v="ORD01451"/>
    <d v="2024-07-29T00:00:00"/>
    <x v="281"/>
    <x v="0"/>
    <x v="1"/>
    <n v="2"/>
    <n v="195"/>
    <n v="390"/>
  </r>
  <r>
    <s v="ORD01452"/>
    <d v="2023-02-13T00:00:00"/>
    <x v="227"/>
    <x v="2"/>
    <x v="3"/>
    <n v="5"/>
    <n v="273"/>
    <n v="1365"/>
  </r>
  <r>
    <s v="ORD01453"/>
    <d v="2023-02-26T00:00:00"/>
    <x v="258"/>
    <x v="3"/>
    <x v="1"/>
    <n v="2"/>
    <n v="131"/>
    <n v="262"/>
  </r>
  <r>
    <s v="ORD01454"/>
    <d v="2023-02-10T00:00:00"/>
    <x v="91"/>
    <x v="3"/>
    <x v="1"/>
    <n v="4"/>
    <n v="324"/>
    <n v="1296"/>
  </r>
  <r>
    <s v="ORD01455"/>
    <d v="2023-10-05T00:00:00"/>
    <x v="271"/>
    <x v="1"/>
    <x v="2"/>
    <n v="3"/>
    <n v="705"/>
    <n v="2115"/>
  </r>
  <r>
    <s v="ORD01456"/>
    <d v="2023-02-01T00:00:00"/>
    <x v="262"/>
    <x v="2"/>
    <x v="3"/>
    <n v="2"/>
    <n v="576"/>
    <n v="1152"/>
  </r>
  <r>
    <s v="ORD01457"/>
    <d v="2024-05-10T00:00:00"/>
    <x v="286"/>
    <x v="3"/>
    <x v="4"/>
    <n v="5"/>
    <n v="749"/>
    <n v="3745"/>
  </r>
  <r>
    <s v="ORD01458"/>
    <d v="2024-06-18T00:00:00"/>
    <x v="68"/>
    <x v="2"/>
    <x v="4"/>
    <n v="5"/>
    <n v="895"/>
    <n v="4475"/>
  </r>
  <r>
    <s v="ORD01459"/>
    <d v="2023-07-17T00:00:00"/>
    <x v="280"/>
    <x v="2"/>
    <x v="1"/>
    <n v="4"/>
    <n v="614"/>
    <n v="2456"/>
  </r>
  <r>
    <s v="ORD01460"/>
    <d v="2024-11-26T00:00:00"/>
    <x v="293"/>
    <x v="3"/>
    <x v="4"/>
    <n v="2"/>
    <n v="572"/>
    <n v="1144"/>
  </r>
  <r>
    <s v="ORD01461"/>
    <d v="2024-04-12T00:00:00"/>
    <x v="25"/>
    <x v="0"/>
    <x v="4"/>
    <n v="3"/>
    <n v="760"/>
    <n v="2280"/>
  </r>
  <r>
    <s v="ORD01462"/>
    <d v="2023-06-15T00:00:00"/>
    <x v="69"/>
    <x v="1"/>
    <x v="4"/>
    <n v="4"/>
    <n v="734"/>
    <n v="2936"/>
  </r>
  <r>
    <s v="ORD01463"/>
    <d v="2023-04-29T00:00:00"/>
    <x v="215"/>
    <x v="0"/>
    <x v="2"/>
    <n v="4"/>
    <n v="881"/>
    <n v="3524"/>
  </r>
  <r>
    <s v="ORD01464"/>
    <d v="2024-07-17T00:00:00"/>
    <x v="196"/>
    <x v="2"/>
    <x v="1"/>
    <n v="4"/>
    <n v="1031"/>
    <n v="4124"/>
  </r>
  <r>
    <s v="ORD01465"/>
    <d v="2024-01-10T00:00:00"/>
    <x v="246"/>
    <x v="2"/>
    <x v="3"/>
    <n v="3"/>
    <n v="1100"/>
    <n v="3300"/>
  </r>
  <r>
    <s v="ORD01466"/>
    <d v="2024-04-12T00:00:00"/>
    <x v="297"/>
    <x v="3"/>
    <x v="3"/>
    <n v="2"/>
    <n v="324"/>
    <n v="648"/>
  </r>
  <r>
    <s v="ORD01467"/>
    <d v="2023-12-19T00:00:00"/>
    <x v="138"/>
    <x v="3"/>
    <x v="3"/>
    <n v="1"/>
    <n v="214"/>
    <n v="214"/>
  </r>
  <r>
    <s v="ORD01468"/>
    <d v="2024-06-02T00:00:00"/>
    <x v="101"/>
    <x v="2"/>
    <x v="0"/>
    <n v="1"/>
    <n v="351"/>
    <n v="351"/>
  </r>
  <r>
    <s v="ORD01469"/>
    <d v="2023-08-12T00:00:00"/>
    <x v="198"/>
    <x v="3"/>
    <x v="3"/>
    <n v="4"/>
    <n v="609"/>
    <n v="2436"/>
  </r>
  <r>
    <s v="ORD01470"/>
    <d v="2024-06-06T00:00:00"/>
    <x v="90"/>
    <x v="1"/>
    <x v="4"/>
    <n v="2"/>
    <n v="1025"/>
    <n v="2050"/>
  </r>
  <r>
    <s v="ORD01471"/>
    <d v="2023-06-26T00:00:00"/>
    <x v="97"/>
    <x v="3"/>
    <x v="4"/>
    <n v="3"/>
    <n v="1024"/>
    <n v="3072"/>
  </r>
  <r>
    <s v="ORD01472"/>
    <d v="2023-02-08T00:00:00"/>
    <x v="258"/>
    <x v="0"/>
    <x v="4"/>
    <n v="3"/>
    <n v="228"/>
    <n v="684"/>
  </r>
  <r>
    <s v="ORD01473"/>
    <d v="2024-10-10T00:00:00"/>
    <x v="131"/>
    <x v="0"/>
    <x v="4"/>
    <n v="4"/>
    <n v="196"/>
    <n v="784"/>
  </r>
  <r>
    <s v="ORD01474"/>
    <d v="2024-08-03T00:00:00"/>
    <x v="193"/>
    <x v="3"/>
    <x v="4"/>
    <n v="2"/>
    <n v="301"/>
    <n v="602"/>
  </r>
  <r>
    <s v="ORD01475"/>
    <d v="2023-06-17T00:00:00"/>
    <x v="263"/>
    <x v="0"/>
    <x v="2"/>
    <n v="1"/>
    <n v="211"/>
    <n v="211"/>
  </r>
  <r>
    <s v="ORD01476"/>
    <d v="2024-11-13T00:00:00"/>
    <x v="131"/>
    <x v="1"/>
    <x v="1"/>
    <n v="1"/>
    <n v="497"/>
    <n v="497"/>
  </r>
  <r>
    <s v="ORD01477"/>
    <d v="2023-08-19T00:00:00"/>
    <x v="254"/>
    <x v="3"/>
    <x v="2"/>
    <n v="3"/>
    <n v="344"/>
    <n v="1032"/>
  </r>
  <r>
    <s v="ORD01478"/>
    <d v="2023-04-26T00:00:00"/>
    <x v="107"/>
    <x v="2"/>
    <x v="0"/>
    <n v="4"/>
    <n v="942"/>
    <n v="3768"/>
  </r>
  <r>
    <s v="ORD01479"/>
    <d v="2024-04-04T00:00:00"/>
    <x v="144"/>
    <x v="3"/>
    <x v="0"/>
    <n v="2"/>
    <n v="249"/>
    <n v="498"/>
  </r>
  <r>
    <s v="ORD01480"/>
    <d v="2024-04-26T00:00:00"/>
    <x v="101"/>
    <x v="3"/>
    <x v="1"/>
    <n v="2"/>
    <n v="108"/>
    <n v="216"/>
  </r>
  <r>
    <s v="ORD01481"/>
    <d v="2024-02-07T00:00:00"/>
    <x v="141"/>
    <x v="2"/>
    <x v="3"/>
    <n v="2"/>
    <n v="717"/>
    <n v="1434"/>
  </r>
  <r>
    <s v="ORD01482"/>
    <d v="2024-05-19T00:00:00"/>
    <x v="207"/>
    <x v="3"/>
    <x v="3"/>
    <n v="4"/>
    <n v="892"/>
    <n v="3568"/>
  </r>
  <r>
    <s v="ORD01483"/>
    <d v="2023-03-16T00:00:00"/>
    <x v="17"/>
    <x v="2"/>
    <x v="4"/>
    <n v="5"/>
    <n v="537"/>
    <n v="2685"/>
  </r>
  <r>
    <s v="ORD01484"/>
    <d v="2023-10-18T00:00:00"/>
    <x v="174"/>
    <x v="3"/>
    <x v="3"/>
    <n v="2"/>
    <n v="528"/>
    <n v="1056"/>
  </r>
  <r>
    <s v="ORD01485"/>
    <d v="2024-01-23T00:00:00"/>
    <x v="175"/>
    <x v="1"/>
    <x v="2"/>
    <n v="1"/>
    <n v="646"/>
    <n v="646"/>
  </r>
  <r>
    <s v="ORD01486"/>
    <d v="2023-06-21T00:00:00"/>
    <x v="252"/>
    <x v="3"/>
    <x v="4"/>
    <n v="1"/>
    <n v="1081"/>
    <n v="1081"/>
  </r>
  <r>
    <s v="ORD01487"/>
    <d v="2024-08-15T00:00:00"/>
    <x v="66"/>
    <x v="2"/>
    <x v="3"/>
    <n v="1"/>
    <n v="210"/>
    <n v="210"/>
  </r>
  <r>
    <s v="ORD01488"/>
    <d v="2024-07-18T00:00:00"/>
    <x v="174"/>
    <x v="3"/>
    <x v="3"/>
    <n v="2"/>
    <n v="721"/>
    <n v="1442"/>
  </r>
  <r>
    <s v="ORD01489"/>
    <d v="2024-10-08T00:00:00"/>
    <x v="150"/>
    <x v="2"/>
    <x v="1"/>
    <n v="4"/>
    <n v="734"/>
    <n v="2936"/>
  </r>
  <r>
    <s v="ORD01490"/>
    <d v="2023-01-23T00:00:00"/>
    <x v="82"/>
    <x v="2"/>
    <x v="4"/>
    <n v="1"/>
    <n v="1070"/>
    <n v="1070"/>
  </r>
  <r>
    <s v="ORD01491"/>
    <d v="2023-07-01T00:00:00"/>
    <x v="212"/>
    <x v="1"/>
    <x v="1"/>
    <n v="3"/>
    <n v="673"/>
    <n v="2019"/>
  </r>
  <r>
    <s v="ORD01492"/>
    <d v="2023-02-18T00:00:00"/>
    <x v="12"/>
    <x v="1"/>
    <x v="3"/>
    <n v="2"/>
    <n v="652"/>
    <n v="1304"/>
  </r>
  <r>
    <s v="ORD01493"/>
    <d v="2023-03-22T00:00:00"/>
    <x v="92"/>
    <x v="1"/>
    <x v="1"/>
    <n v="4"/>
    <n v="209"/>
    <n v="836"/>
  </r>
  <r>
    <s v="ORD01494"/>
    <d v="2024-09-03T00:00:00"/>
    <x v="115"/>
    <x v="2"/>
    <x v="2"/>
    <n v="4"/>
    <n v="302"/>
    <n v="1208"/>
  </r>
  <r>
    <s v="ORD01495"/>
    <d v="2024-05-22T00:00:00"/>
    <x v="77"/>
    <x v="3"/>
    <x v="0"/>
    <n v="3"/>
    <n v="641"/>
    <n v="1923"/>
  </r>
  <r>
    <s v="ORD01496"/>
    <d v="2023-03-03T00:00:00"/>
    <x v="88"/>
    <x v="3"/>
    <x v="4"/>
    <n v="1"/>
    <n v="1067"/>
    <n v="1067"/>
  </r>
  <r>
    <s v="ORD01497"/>
    <d v="2024-08-18T00:00:00"/>
    <x v="118"/>
    <x v="0"/>
    <x v="0"/>
    <n v="1"/>
    <n v="649"/>
    <n v="649"/>
  </r>
  <r>
    <s v="ORD01498"/>
    <d v="2024-09-14T00:00:00"/>
    <x v="130"/>
    <x v="2"/>
    <x v="0"/>
    <n v="5"/>
    <n v="1108"/>
    <n v="5540"/>
  </r>
  <r>
    <s v="ORD01499"/>
    <d v="2023-07-23T00:00:00"/>
    <x v="79"/>
    <x v="2"/>
    <x v="4"/>
    <n v="4"/>
    <n v="989"/>
    <n v="3956"/>
  </r>
  <r>
    <s v="ORD01500"/>
    <d v="2023-09-14T00:00:00"/>
    <x v="245"/>
    <x v="1"/>
    <x v="1"/>
    <n v="3"/>
    <n v="168"/>
    <n v="50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CCB70C1-0A0B-4209-8A2D-1C0F947E37BC}" name="PivotTable1"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2:B302" firstHeaderRow="1" firstDataRow="1" firstDataCol="1"/>
  <pivotFields count="8">
    <pivotField compact="0" outline="0" showAll="0"/>
    <pivotField compact="0" numFmtId="164" outline="0" showAll="0"/>
    <pivotField axis="axisRow" compact="0" outline="0" showAll="0" sortType="ascending">
      <items count="300">
        <item x="73"/>
        <item x="179"/>
        <item x="30"/>
        <item x="59"/>
        <item x="234"/>
        <item x="38"/>
        <item x="88"/>
        <item x="62"/>
        <item x="175"/>
        <item x="58"/>
        <item x="237"/>
        <item x="125"/>
        <item x="147"/>
        <item x="251"/>
        <item x="214"/>
        <item x="119"/>
        <item x="209"/>
        <item x="5"/>
        <item x="258"/>
        <item x="7"/>
        <item x="240"/>
        <item x="122"/>
        <item x="93"/>
        <item x="31"/>
        <item x="219"/>
        <item x="188"/>
        <item x="128"/>
        <item x="61"/>
        <item x="1"/>
        <item x="77"/>
        <item x="278"/>
        <item x="268"/>
        <item x="115"/>
        <item x="86"/>
        <item x="117"/>
        <item x="153"/>
        <item x="51"/>
        <item x="80"/>
        <item x="149"/>
        <item x="253"/>
        <item x="44"/>
        <item x="213"/>
        <item x="16"/>
        <item x="6"/>
        <item x="227"/>
        <item x="33"/>
        <item x="233"/>
        <item x="124"/>
        <item x="185"/>
        <item x="257"/>
        <item x="293"/>
        <item x="270"/>
        <item x="247"/>
        <item x="129"/>
        <item x="95"/>
        <item x="42"/>
        <item x="156"/>
        <item x="279"/>
        <item x="34"/>
        <item x="274"/>
        <item x="265"/>
        <item x="174"/>
        <item x="275"/>
        <item x="177"/>
        <item x="271"/>
        <item x="20"/>
        <item x="94"/>
        <item x="99"/>
        <item x="194"/>
        <item x="229"/>
        <item x="131"/>
        <item x="183"/>
        <item x="74"/>
        <item x="282"/>
        <item x="76"/>
        <item x="190"/>
        <item x="290"/>
        <item x="216"/>
        <item x="171"/>
        <item x="206"/>
        <item x="164"/>
        <item x="260"/>
        <item x="244"/>
        <item x="178"/>
        <item x="139"/>
        <item x="118"/>
        <item x="148"/>
        <item x="254"/>
        <item x="90"/>
        <item x="82"/>
        <item x="255"/>
        <item x="120"/>
        <item x="66"/>
        <item x="165"/>
        <item x="35"/>
        <item x="123"/>
        <item x="291"/>
        <item x="172"/>
        <item x="65"/>
        <item x="92"/>
        <item x="241"/>
        <item x="32"/>
        <item x="187"/>
        <item x="210"/>
        <item x="47"/>
        <item x="182"/>
        <item x="4"/>
        <item x="262"/>
        <item x="39"/>
        <item x="27"/>
        <item x="212"/>
        <item x="158"/>
        <item x="24"/>
        <item x="200"/>
        <item x="43"/>
        <item x="89"/>
        <item x="170"/>
        <item x="142"/>
        <item x="286"/>
        <item x="141"/>
        <item x="220"/>
        <item x="48"/>
        <item x="168"/>
        <item x="211"/>
        <item x="112"/>
        <item x="103"/>
        <item x="186"/>
        <item x="53"/>
        <item x="245"/>
        <item x="297"/>
        <item x="256"/>
        <item x="225"/>
        <item x="269"/>
        <item x="146"/>
        <item x="276"/>
        <item x="45"/>
        <item x="248"/>
        <item x="249"/>
        <item x="126"/>
        <item x="109"/>
        <item x="295"/>
        <item x="138"/>
        <item x="236"/>
        <item x="96"/>
        <item x="116"/>
        <item x="198"/>
        <item x="167"/>
        <item x="226"/>
        <item x="283"/>
        <item x="193"/>
        <item x="108"/>
        <item x="228"/>
        <item x="111"/>
        <item x="239"/>
        <item x="104"/>
        <item x="196"/>
        <item x="91"/>
        <item x="121"/>
        <item x="232"/>
        <item x="17"/>
        <item x="114"/>
        <item x="159"/>
        <item x="60"/>
        <item x="78"/>
        <item x="292"/>
        <item x="207"/>
        <item x="110"/>
        <item x="105"/>
        <item x="222"/>
        <item x="98"/>
        <item x="189"/>
        <item x="100"/>
        <item x="13"/>
        <item x="29"/>
        <item x="235"/>
        <item x="102"/>
        <item x="203"/>
        <item x="266"/>
        <item x="3"/>
        <item x="230"/>
        <item x="192"/>
        <item x="298"/>
        <item x="152"/>
        <item x="162"/>
        <item x="10"/>
        <item x="14"/>
        <item x="134"/>
        <item x="218"/>
        <item x="56"/>
        <item x="63"/>
        <item x="107"/>
        <item x="75"/>
        <item x="252"/>
        <item x="132"/>
        <item x="70"/>
        <item x="12"/>
        <item x="161"/>
        <item x="79"/>
        <item x="204"/>
        <item x="145"/>
        <item x="160"/>
        <item x="8"/>
        <item x="68"/>
        <item x="288"/>
        <item x="246"/>
        <item x="272"/>
        <item x="169"/>
        <item x="173"/>
        <item x="197"/>
        <item x="289"/>
        <item x="84"/>
        <item x="135"/>
        <item x="202"/>
        <item x="184"/>
        <item x="2"/>
        <item x="231"/>
        <item x="9"/>
        <item x="157"/>
        <item x="191"/>
        <item x="113"/>
        <item x="52"/>
        <item x="250"/>
        <item x="280"/>
        <item x="136"/>
        <item x="180"/>
        <item x="199"/>
        <item x="221"/>
        <item x="127"/>
        <item x="195"/>
        <item x="163"/>
        <item x="243"/>
        <item x="11"/>
        <item x="41"/>
        <item x="201"/>
        <item x="67"/>
        <item x="273"/>
        <item x="150"/>
        <item x="64"/>
        <item x="144"/>
        <item x="181"/>
        <item x="267"/>
        <item x="281"/>
        <item x="26"/>
        <item x="28"/>
        <item x="97"/>
        <item x="40"/>
        <item x="87"/>
        <item x="296"/>
        <item x="130"/>
        <item x="19"/>
        <item x="72"/>
        <item x="140"/>
        <item x="151"/>
        <item x="36"/>
        <item x="23"/>
        <item x="264"/>
        <item x="294"/>
        <item x="46"/>
        <item x="261"/>
        <item x="54"/>
        <item x="166"/>
        <item x="49"/>
        <item x="263"/>
        <item x="238"/>
        <item x="285"/>
        <item x="85"/>
        <item x="176"/>
        <item x="18"/>
        <item x="154"/>
        <item x="25"/>
        <item x="21"/>
        <item x="101"/>
        <item x="155"/>
        <item x="224"/>
        <item x="287"/>
        <item x="0"/>
        <item x="284"/>
        <item x="143"/>
        <item x="55"/>
        <item x="242"/>
        <item x="57"/>
        <item x="133"/>
        <item x="277"/>
        <item x="223"/>
        <item x="205"/>
        <item x="71"/>
        <item x="106"/>
        <item x="259"/>
        <item x="69"/>
        <item x="137"/>
        <item x="22"/>
        <item x="215"/>
        <item x="83"/>
        <item x="217"/>
        <item x="208"/>
        <item x="15"/>
        <item x="37"/>
        <item x="50"/>
        <item x="81"/>
        <item t="default"/>
      </items>
    </pivotField>
    <pivotField compact="0" outline="0" showAll="0" sortType="descending">
      <items count="5">
        <item x="3"/>
        <item x="2"/>
        <item x="0"/>
        <item x="1"/>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dataField="1" compact="0" outline="0" showAll="0"/>
  </pivotFields>
  <rowFields count="1">
    <field x="2"/>
  </rowFields>
  <rowItems count="30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t="grand">
      <x/>
    </i>
  </rowItems>
  <colItems count="1">
    <i/>
  </colItems>
  <dataFields count="1">
    <dataField name="Sum of Revenue"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714B605-F6BF-41D3-89F5-ABFCFF453510}" name="PivotTable3"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6">
  <location ref="O19:P24" firstHeaderRow="1" firstDataRow="1" firstDataCol="1"/>
  <pivotFields count="8">
    <pivotField compact="0" outline="0" showAll="0"/>
    <pivotField compact="0" numFmtId="164" outline="0" showAll="0"/>
    <pivotField compact="0" outline="0" showAll="0"/>
    <pivotField axis="axisRow" compact="0" outline="0" showAll="0" sortType="descending">
      <items count="5">
        <item x="3"/>
        <item x="2"/>
        <item x="0"/>
        <item x="1"/>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dataField="1" compact="0" outline="0" showAll="0"/>
  </pivotFields>
  <rowFields count="1">
    <field x="3"/>
  </rowFields>
  <rowItems count="5">
    <i>
      <x v="1"/>
    </i>
    <i>
      <x v="2"/>
    </i>
    <i>
      <x v="3"/>
    </i>
    <i>
      <x/>
    </i>
    <i t="grand">
      <x/>
    </i>
  </rowItems>
  <colItems count="1">
    <i/>
  </colItems>
  <dataFields count="1">
    <dataField name="% Revenue by region" fld="7" showDataAs="percentOfTotal" baseField="0" baseItem="0" numFmtId="10"/>
  </dataFields>
  <formats count="7">
    <format dxfId="7">
      <pivotArea type="all" dataOnly="0" outline="0" fieldPosition="0"/>
    </format>
    <format dxfId="6">
      <pivotArea outline="0" collapsedLevelsAreSubtotals="1" fieldPosition="0"/>
    </format>
    <format dxfId="5">
      <pivotArea field="3" type="button" dataOnly="0" labelOnly="1" outline="0" axis="axisRow" fieldPosition="0"/>
    </format>
    <format dxfId="4">
      <pivotArea dataOnly="0" labelOnly="1" outline="0" fieldPosition="0">
        <references count="1">
          <reference field="3" count="0"/>
        </references>
      </pivotArea>
    </format>
    <format dxfId="3">
      <pivotArea dataOnly="0" labelOnly="1" grandRow="1" outline="0" fieldPosition="0"/>
    </format>
    <format dxfId="2">
      <pivotArea outline="0" fieldPosition="0">
        <references count="1">
          <reference field="3" count="0" selected="0"/>
        </references>
      </pivotArea>
    </format>
    <format dxfId="1">
      <pivotArea dataOnly="0" labelOnly="1" outline="0" axis="axisValues" fieldPosition="0"/>
    </format>
  </formats>
  <chartFormats count="5">
    <chartFormat chart="0" format="5" series="1">
      <pivotArea type="data" outline="0" fieldPosition="0">
        <references count="1">
          <reference field="4294967294" count="1" selected="0">
            <x v="0"/>
          </reference>
        </references>
      </pivotArea>
    </chartFormat>
    <chartFormat chart="0" format="6">
      <pivotArea type="data" outline="0" fieldPosition="0">
        <references count="2">
          <reference field="4294967294" count="1" selected="0">
            <x v="0"/>
          </reference>
          <reference field="3" count="1" selected="0">
            <x v="0"/>
          </reference>
        </references>
      </pivotArea>
    </chartFormat>
    <chartFormat chart="0" format="7">
      <pivotArea type="data" outline="0" fieldPosition="0">
        <references count="2">
          <reference field="4294967294" count="1" selected="0">
            <x v="0"/>
          </reference>
          <reference field="3" count="1" selected="0">
            <x v="3"/>
          </reference>
        </references>
      </pivotArea>
    </chartFormat>
    <chartFormat chart="0" format="8">
      <pivotArea type="data" outline="0" fieldPosition="0">
        <references count="2">
          <reference field="4294967294" count="1" selected="0">
            <x v="0"/>
          </reference>
          <reference field="3" count="1" selected="0">
            <x v="1"/>
          </reference>
        </references>
      </pivotArea>
    </chartFormat>
    <chartFormat chart="0" format="9">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14166E2-EA18-48CD-B1DE-730B342042F7}"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3">
  <location ref="K19:L24" firstHeaderRow="1" firstDataRow="1" firstDataCol="1"/>
  <pivotFields count="8">
    <pivotField compact="0"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includeNewItemsInFilter="1" sortType="descending" defaultSubtotal="0">
      <items count="5">
        <item x="4"/>
        <item x="1"/>
        <item x="2"/>
        <item x="0"/>
        <item x="3"/>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items count="1174">
        <item x="438"/>
        <item x="207"/>
        <item x="132"/>
        <item x="13"/>
        <item x="762"/>
        <item x="61"/>
        <item x="601"/>
        <item x="509"/>
        <item x="790"/>
        <item x="998"/>
        <item x="26"/>
        <item x="671"/>
        <item x="898"/>
        <item x="228"/>
        <item x="194"/>
        <item x="1077"/>
        <item x="981"/>
        <item x="557"/>
        <item x="460"/>
        <item x="352"/>
        <item x="485"/>
        <item x="926"/>
        <item x="1125"/>
        <item x="520"/>
        <item x="1091"/>
        <item x="326"/>
        <item x="622"/>
        <item x="196"/>
        <item x="464"/>
        <item x="880"/>
        <item x="1163"/>
        <item x="605"/>
        <item x="1112"/>
        <item x="1157"/>
        <item x="1165"/>
        <item x="951"/>
        <item x="787"/>
        <item x="71"/>
        <item x="1139"/>
        <item x="1084"/>
        <item x="918"/>
        <item x="1024"/>
        <item x="953"/>
        <item x="231"/>
        <item x="137"/>
        <item x="748"/>
        <item x="422"/>
        <item x="980"/>
        <item x="305"/>
        <item x="410"/>
        <item x="318"/>
        <item x="791"/>
        <item x="195"/>
        <item x="596"/>
        <item x="971"/>
        <item x="747"/>
        <item x="690"/>
        <item x="670"/>
        <item x="437"/>
        <item x="956"/>
        <item x="1100"/>
        <item x="1031"/>
        <item x="32"/>
        <item x="428"/>
        <item x="572"/>
        <item x="640"/>
        <item x="704"/>
        <item x="395"/>
        <item x="1090"/>
        <item x="1123"/>
        <item x="1080"/>
        <item x="908"/>
        <item x="511"/>
        <item x="794"/>
        <item x="576"/>
        <item x="561"/>
        <item x="917"/>
        <item x="1028"/>
        <item x="188"/>
        <item x="929"/>
        <item x="1075"/>
        <item x="108"/>
        <item x="826"/>
        <item x="336"/>
        <item x="1041"/>
        <item x="1158"/>
        <item x="815"/>
        <item x="160"/>
        <item x="778"/>
        <item x="304"/>
        <item x="44"/>
        <item x="997"/>
        <item x="359"/>
        <item x="165"/>
        <item x="973"/>
        <item x="902"/>
        <item x="472"/>
        <item x="230"/>
        <item x="203"/>
        <item x="185"/>
        <item x="517"/>
        <item x="381"/>
        <item x="226"/>
        <item x="767"/>
        <item x="585"/>
        <item x="117"/>
        <item x="999"/>
        <item x="521"/>
        <item x="313"/>
        <item x="982"/>
        <item x="414"/>
        <item x="2"/>
        <item x="459"/>
        <item x="550"/>
        <item x="320"/>
        <item x="789"/>
        <item x="77"/>
        <item x="265"/>
        <item x="217"/>
        <item x="934"/>
        <item x="590"/>
        <item x="816"/>
        <item x="96"/>
        <item x="473"/>
        <item x="214"/>
        <item x="419"/>
        <item x="307"/>
        <item x="525"/>
        <item x="638"/>
        <item x="95"/>
        <item x="848"/>
        <item x="524"/>
        <item x="1173"/>
        <item x="434"/>
        <item x="306"/>
        <item x="709"/>
        <item x="121"/>
        <item x="930"/>
        <item x="75"/>
        <item x="298"/>
        <item x="80"/>
        <item x="443"/>
        <item x="663"/>
        <item x="1088"/>
        <item x="101"/>
        <item x="677"/>
        <item x="989"/>
        <item x="554"/>
        <item x="664"/>
        <item x="171"/>
        <item x="201"/>
        <item x="225"/>
        <item x="894"/>
        <item x="532"/>
        <item x="1034"/>
        <item x="857"/>
        <item x="97"/>
        <item x="494"/>
        <item x="115"/>
        <item x="798"/>
        <item x="36"/>
        <item x="245"/>
        <item x="983"/>
        <item x="632"/>
        <item x="237"/>
        <item x="67"/>
        <item x="126"/>
        <item x="1132"/>
        <item x="128"/>
        <item x="913"/>
        <item x="675"/>
        <item x="127"/>
        <item x="535"/>
        <item x="1008"/>
        <item x="761"/>
        <item x="639"/>
        <item x="273"/>
        <item x="1162"/>
        <item x="123"/>
        <item x="581"/>
        <item x="254"/>
        <item x="1020"/>
        <item x="220"/>
        <item x="703"/>
        <item x="881"/>
        <item x="781"/>
        <item x="120"/>
        <item x="1065"/>
        <item x="270"/>
        <item x="685"/>
        <item x="267"/>
        <item x="17"/>
        <item x="78"/>
        <item x="351"/>
        <item x="529"/>
        <item x="308"/>
        <item x="1167"/>
        <item x="735"/>
        <item x="1054"/>
        <item x="979"/>
        <item x="141"/>
        <item x="6"/>
        <item x="297"/>
        <item x="834"/>
        <item x="730"/>
        <item x="349"/>
        <item x="683"/>
        <item x="55"/>
        <item x="584"/>
        <item x="447"/>
        <item x="722"/>
        <item x="451"/>
        <item x="542"/>
        <item x="1160"/>
        <item x="406"/>
        <item x="496"/>
        <item x="941"/>
        <item x="118"/>
        <item x="534"/>
        <item x="294"/>
        <item x="564"/>
        <item x="985"/>
        <item x="452"/>
        <item x="634"/>
        <item x="1140"/>
        <item x="788"/>
        <item x="372"/>
        <item x="74"/>
        <item x="153"/>
        <item x="218"/>
        <item x="624"/>
        <item x="441"/>
        <item x="618"/>
        <item x="935"/>
        <item x="754"/>
        <item x="1094"/>
        <item x="628"/>
        <item x="327"/>
        <item x="741"/>
        <item x="606"/>
        <item x="1022"/>
        <item x="876"/>
        <item x="90"/>
        <item x="58"/>
        <item x="603"/>
        <item x="420"/>
        <item x="939"/>
        <item x="666"/>
        <item x="394"/>
        <item x="145"/>
        <item x="852"/>
        <item x="565"/>
        <item x="286"/>
        <item x="1004"/>
        <item x="111"/>
        <item x="556"/>
        <item x="552"/>
        <item x="1161"/>
        <item x="1131"/>
        <item x="860"/>
        <item x="759"/>
        <item x="669"/>
        <item x="479"/>
        <item x="142"/>
        <item x="183"/>
        <item x="829"/>
        <item x="360"/>
        <item x="593"/>
        <item x="802"/>
        <item x="506"/>
        <item x="793"/>
        <item x="470"/>
        <item x="888"/>
        <item x="720"/>
        <item x="635"/>
        <item x="113"/>
        <item x="1108"/>
        <item x="202"/>
        <item x="68"/>
        <item x="10"/>
        <item x="1171"/>
        <item x="952"/>
        <item x="963"/>
        <item x="432"/>
        <item x="1019"/>
        <item x="577"/>
        <item x="737"/>
        <item x="1137"/>
        <item x="1015"/>
        <item x="1046"/>
        <item x="1078"/>
        <item x="540"/>
        <item x="104"/>
        <item x="836"/>
        <item x="502"/>
        <item x="1096"/>
        <item x="932"/>
        <item x="909"/>
        <item x="331"/>
        <item x="573"/>
        <item x="1086"/>
        <item x="170"/>
        <item x="493"/>
        <item x="533"/>
        <item x="743"/>
        <item x="806"/>
        <item x="1097"/>
        <item x="216"/>
        <item x="527"/>
        <item x="1127"/>
        <item x="779"/>
        <item x="885"/>
        <item x="76"/>
        <item x="841"/>
        <item x="1079"/>
        <item x="488"/>
        <item x="586"/>
        <item x="28"/>
        <item x="993"/>
        <item x="250"/>
        <item x="1087"/>
        <item x="652"/>
        <item x="968"/>
        <item x="574"/>
        <item x="1124"/>
        <item x="954"/>
        <item x="362"/>
        <item x="500"/>
        <item x="705"/>
        <item x="379"/>
        <item x="771"/>
        <item x="924"/>
        <item x="1117"/>
        <item x="338"/>
        <item x="922"/>
        <item x="1122"/>
        <item x="591"/>
        <item x="33"/>
        <item x="636"/>
        <item x="1038"/>
        <item x="361"/>
        <item x="976"/>
        <item x="631"/>
        <item x="760"/>
        <item x="686"/>
        <item x="780"/>
        <item x="24"/>
        <item x="617"/>
        <item x="907"/>
        <item x="409"/>
        <item x="528"/>
        <item x="522"/>
        <item x="1135"/>
        <item x="995"/>
        <item x="211"/>
        <item x="1047"/>
        <item x="383"/>
        <item x="845"/>
        <item x="1010"/>
        <item x="962"/>
        <item x="672"/>
        <item x="700"/>
        <item x="831"/>
        <item x="833"/>
        <item x="600"/>
        <item x="964"/>
        <item x="477"/>
        <item x="342"/>
        <item x="450"/>
        <item x="974"/>
        <item x="38"/>
        <item x="655"/>
        <item x="343"/>
        <item x="873"/>
        <item x="1061"/>
        <item x="109"/>
        <item x="1011"/>
        <item x="484"/>
        <item x="1141"/>
        <item x="198"/>
        <item x="950"/>
        <item x="130"/>
        <item x="1103"/>
        <item x="495"/>
        <item x="714"/>
        <item x="580"/>
        <item x="1037"/>
        <item x="874"/>
        <item x="325"/>
        <item x="835"/>
        <item x="256"/>
        <item x="1166"/>
        <item x="678"/>
        <item x="849"/>
        <item x="277"/>
        <item x="251"/>
        <item x="602"/>
        <item x="645"/>
        <item x="619"/>
        <item x="46"/>
        <item x="1168"/>
        <item x="124"/>
        <item x="518"/>
        <item x="391"/>
        <item x="330"/>
        <item x="758"/>
        <item x="1059"/>
        <item x="560"/>
        <item x="899"/>
        <item x="421"/>
        <item x="136"/>
        <item x="987"/>
        <item x="317"/>
        <item x="457"/>
        <item x="866"/>
        <item x="119"/>
        <item x="407"/>
        <item x="99"/>
        <item x="418"/>
        <item x="519"/>
        <item x="715"/>
        <item x="424"/>
        <item x="549"/>
        <item x="682"/>
        <item x="210"/>
        <item x="249"/>
        <item x="355"/>
        <item x="1152"/>
        <item x="416"/>
        <item x="476"/>
        <item x="827"/>
        <item x="947"/>
        <item x="103"/>
        <item x="1006"/>
        <item x="175"/>
        <item x="287"/>
        <item x="510"/>
        <item x="755"/>
        <item x="1136"/>
        <item x="698"/>
        <item x="665"/>
        <item x="504"/>
        <item x="486"/>
        <item x="240"/>
        <item x="756"/>
        <item x="609"/>
        <item x="612"/>
        <item x="133"/>
        <item x="358"/>
        <item x="707"/>
        <item x="475"/>
        <item x="278"/>
        <item x="105"/>
        <item x="292"/>
        <item x="1138"/>
        <item x="604"/>
        <item x="499"/>
        <item x="334"/>
        <item x="302"/>
        <item x="544"/>
        <item x="146"/>
        <item x="797"/>
        <item x="66"/>
        <item x="732"/>
        <item x="578"/>
        <item x="426"/>
        <item x="91"/>
        <item x="919"/>
        <item x="1017"/>
        <item x="884"/>
        <item x="184"/>
        <item x="490"/>
        <item x="363"/>
        <item x="681"/>
        <item x="116"/>
        <item x="295"/>
        <item x="50"/>
        <item x="1048"/>
        <item x="878"/>
        <item x="290"/>
        <item x="143"/>
        <item x="766"/>
        <item x="125"/>
        <item x="579"/>
        <item x="691"/>
        <item x="1023"/>
        <item x="842"/>
        <item x="744"/>
        <item x="630"/>
        <item x="463"/>
        <item x="1150"/>
        <item x="853"/>
        <item x="1009"/>
        <item x="1076"/>
        <item x="659"/>
        <item x="625"/>
        <item x="568"/>
        <item x="279"/>
        <item x="1056"/>
        <item x="991"/>
        <item x="782"/>
        <item x="354"/>
        <item x="597"/>
        <item x="377"/>
        <item x="205"/>
        <item x="42"/>
        <item x="940"/>
        <item x="1066"/>
        <item x="1114"/>
        <item x="810"/>
        <item x="85"/>
        <item x="776"/>
        <item x="699"/>
        <item x="1169"/>
        <item x="742"/>
        <item x="11"/>
        <item x="865"/>
        <item x="301"/>
        <item x="657"/>
        <item x="84"/>
        <item x="1098"/>
        <item x="955"/>
        <item x="1033"/>
        <item x="803"/>
        <item x="651"/>
        <item x="526"/>
        <item x="828"/>
        <item x="466"/>
        <item x="309"/>
        <item x="575"/>
        <item x="276"/>
        <item x="1106"/>
        <item x="465"/>
        <item x="376"/>
        <item x="674"/>
        <item x="53"/>
        <item x="7"/>
        <item x="809"/>
        <item x="289"/>
        <item x="937"/>
        <item x="667"/>
        <item x="59"/>
        <item x="52"/>
        <item x="35"/>
        <item x="1068"/>
        <item x="1064"/>
        <item x="724"/>
        <item x="86"/>
        <item x="1095"/>
        <item x="22"/>
        <item x="819"/>
        <item x="646"/>
        <item x="1089"/>
        <item x="958"/>
        <item x="957"/>
        <item x="508"/>
        <item x="547"/>
        <item x="152"/>
        <item x="562"/>
        <item x="764"/>
        <item x="159"/>
        <item x="374"/>
        <item x="915"/>
        <item x="398"/>
        <item x="134"/>
        <item x="870"/>
        <item x="173"/>
        <item x="199"/>
        <item x="259"/>
        <item x="329"/>
        <item x="181"/>
        <item x="1110"/>
        <item x="346"/>
        <item x="886"/>
        <item x="263"/>
        <item x="208"/>
        <item x="856"/>
        <item x="312"/>
        <item x="539"/>
        <item x="555"/>
        <item x="333"/>
        <item x="589"/>
        <item x="489"/>
        <item x="370"/>
        <item x="319"/>
        <item x="356"/>
        <item x="706"/>
        <item x="144"/>
        <item x="694"/>
        <item x="18"/>
        <item x="122"/>
        <item x="337"/>
        <item x="903"/>
        <item x="1072"/>
        <item x="587"/>
        <item x="241"/>
        <item x="513"/>
        <item x="412"/>
        <item x="480"/>
        <item x="0"/>
        <item x="753"/>
        <item x="403"/>
        <item x="1025"/>
        <item x="653"/>
        <item x="723"/>
        <item x="1027"/>
        <item x="854"/>
        <item x="60"/>
        <item x="269"/>
        <item x="944"/>
        <item x="23"/>
        <item x="204"/>
        <item x="660"/>
        <item x="553"/>
        <item x="65"/>
        <item x="1093"/>
        <item x="1042"/>
        <item x="949"/>
        <item x="357"/>
        <item x="978"/>
        <item x="656"/>
        <item x="435"/>
        <item x="92"/>
        <item x="1001"/>
        <item x="89"/>
        <item x="213"/>
        <item x="824"/>
        <item x="114"/>
        <item x="497"/>
        <item x="729"/>
        <item x="51"/>
        <item x="611"/>
        <item x="945"/>
        <item x="491"/>
        <item x="280"/>
        <item x="1172"/>
        <item x="541"/>
        <item x="1045"/>
        <item x="773"/>
        <item x="72"/>
        <item x="93"/>
        <item x="347"/>
        <item x="637"/>
        <item x="649"/>
        <item x="693"/>
        <item x="567"/>
        <item x="316"/>
        <item x="1129"/>
        <item x="959"/>
        <item x="282"/>
        <item x="1142"/>
        <item x="647"/>
        <item x="293"/>
        <item x="415"/>
        <item x="223"/>
        <item x="135"/>
        <item x="868"/>
        <item x="530"/>
        <item x="1092"/>
        <item x="219"/>
        <item x="785"/>
        <item x="1005"/>
        <item x="1170"/>
        <item x="155"/>
        <item x="648"/>
        <item x="328"/>
        <item x="339"/>
        <item x="82"/>
        <item x="344"/>
        <item x="1057"/>
        <item x="746"/>
        <item x="423"/>
        <item x="804"/>
        <item x="1159"/>
        <item x="812"/>
        <item x="427"/>
        <item x="442"/>
        <item x="551"/>
        <item x="197"/>
        <item x="324"/>
        <item x="896"/>
        <item x="904"/>
        <item x="1121"/>
        <item x="257"/>
        <item x="413"/>
        <item x="673"/>
        <item x="1081"/>
        <item x="365"/>
        <item x="440"/>
        <item x="1"/>
        <item x="1151"/>
        <item x="232"/>
        <item x="341"/>
        <item x="162"/>
        <item x="364"/>
        <item x="189"/>
        <item x="1099"/>
        <item x="455"/>
        <item x="821"/>
        <item x="454"/>
        <item x="695"/>
        <item x="1040"/>
        <item x="233"/>
        <item x="380"/>
        <item x="281"/>
        <item x="537"/>
        <item x="31"/>
        <item x="248"/>
        <item x="887"/>
        <item x="498"/>
        <item x="1134"/>
        <item x="234"/>
        <item x="840"/>
        <item x="777"/>
        <item x="353"/>
        <item x="368"/>
        <item x="110"/>
        <item x="448"/>
        <item x="433"/>
        <item x="825"/>
        <item x="1032"/>
        <item x="9"/>
        <item x="303"/>
        <item x="992"/>
        <item x="98"/>
        <item x="877"/>
        <item x="863"/>
        <item x="107"/>
        <item x="49"/>
        <item x="62"/>
        <item x="784"/>
        <item x="378"/>
        <item x="507"/>
        <item x="768"/>
        <item x="100"/>
        <item x="799"/>
        <item x="1082"/>
        <item x="21"/>
        <item x="19"/>
        <item x="221"/>
        <item x="668"/>
        <item x="271"/>
        <item x="1144"/>
        <item x="63"/>
        <item x="430"/>
        <item x="588"/>
        <item x="166"/>
        <item x="385"/>
        <item x="772"/>
        <item x="1052"/>
        <item x="813"/>
        <item x="811"/>
        <item x="977"/>
        <item x="514"/>
        <item x="392"/>
        <item x="88"/>
        <item x="411"/>
        <item x="252"/>
        <item x="158"/>
        <item x="471"/>
        <item x="688"/>
        <item x="931"/>
        <item x="736"/>
        <item x="399"/>
        <item x="692"/>
        <item x="725"/>
        <item x="139"/>
        <item x="345"/>
        <item x="650"/>
        <item x="613"/>
        <item x="796"/>
        <item x="679"/>
        <item x="545"/>
        <item x="30"/>
        <item x="54"/>
        <item x="1119"/>
        <item x="1155"/>
        <item x="164"/>
        <item x="167"/>
        <item x="716"/>
        <item x="988"/>
        <item x="620"/>
        <item x="774"/>
        <item x="1063"/>
        <item x="73"/>
        <item x="1013"/>
        <item x="274"/>
        <item x="763"/>
        <item x="912"/>
        <item x="966"/>
        <item x="515"/>
        <item x="186"/>
        <item x="890"/>
        <item x="641"/>
        <item x="822"/>
        <item x="558"/>
        <item x="972"/>
        <item x="4"/>
        <item x="861"/>
        <item x="687"/>
        <item x="851"/>
        <item x="469"/>
        <item x="1118"/>
        <item x="895"/>
        <item x="284"/>
        <item x="823"/>
        <item x="266"/>
        <item x="350"/>
        <item x="563"/>
        <item x="177"/>
        <item x="8"/>
        <item x="243"/>
        <item x="1030"/>
        <item x="616"/>
        <item x="1055"/>
        <item x="408"/>
        <item x="340"/>
        <item x="592"/>
        <item x="332"/>
        <item x="970"/>
        <item x="25"/>
        <item x="846"/>
        <item x="296"/>
        <item x="1120"/>
        <item x="81"/>
        <item x="129"/>
        <item x="106"/>
        <item x="752"/>
        <item x="390"/>
        <item x="1021"/>
        <item x="264"/>
        <item x="786"/>
        <item x="388"/>
        <item x="14"/>
        <item x="727"/>
        <item x="830"/>
        <item x="238"/>
        <item x="156"/>
        <item x="800"/>
        <item x="961"/>
        <item x="40"/>
        <item x="1014"/>
        <item x="858"/>
        <item x="446"/>
        <item x="731"/>
        <item x="869"/>
        <item x="676"/>
        <item x="83"/>
        <item x="239"/>
        <item x="546"/>
        <item x="626"/>
        <item x="1148"/>
        <item x="905"/>
        <item x="598"/>
        <item x="847"/>
        <item x="843"/>
        <item x="818"/>
        <item x="41"/>
        <item x="481"/>
        <item x="839"/>
        <item x="749"/>
        <item x="253"/>
        <item x="867"/>
        <item x="371"/>
        <item x="733"/>
        <item x="892"/>
        <item x="654"/>
        <item x="994"/>
        <item x="906"/>
        <item x="229"/>
        <item x="1156"/>
        <item x="1029"/>
        <item x="882"/>
        <item x="783"/>
        <item x="1049"/>
        <item x="384"/>
        <item x="734"/>
        <item x="149"/>
        <item x="891"/>
        <item x="417"/>
        <item x="212"/>
        <item x="662"/>
        <item x="916"/>
        <item x="642"/>
        <item x="594"/>
        <item x="765"/>
        <item x="444"/>
        <item x="140"/>
        <item x="911"/>
        <item x="258"/>
        <item x="43"/>
        <item x="323"/>
        <item x="1003"/>
        <item x="314"/>
        <item x="288"/>
        <item x="627"/>
        <item x="1147"/>
        <item x="523"/>
        <item x="1069"/>
        <item x="131"/>
        <item x="262"/>
        <item x="150"/>
        <item x="943"/>
        <item x="366"/>
        <item x="1074"/>
        <item x="161"/>
        <item x="569"/>
        <item x="439"/>
        <item x="272"/>
        <item x="206"/>
        <item x="369"/>
        <item x="169"/>
        <item x="27"/>
        <item x="946"/>
        <item x="15"/>
        <item x="1113"/>
        <item x="536"/>
        <item x="757"/>
        <item x="322"/>
        <item x="808"/>
        <item x="192"/>
        <item x="739"/>
        <item x="255"/>
        <item x="94"/>
        <item x="227"/>
        <item x="1058"/>
        <item x="402"/>
        <item x="87"/>
        <item x="1012"/>
        <item x="689"/>
        <item x="222"/>
        <item x="928"/>
        <item x="942"/>
        <item x="1104"/>
        <item x="713"/>
        <item x="1126"/>
        <item x="910"/>
        <item x="721"/>
        <item x="3"/>
        <item x="34"/>
        <item x="168"/>
        <item x="386"/>
        <item x="348"/>
        <item x="814"/>
        <item x="503"/>
        <item x="482"/>
        <item x="543"/>
        <item x="855"/>
        <item x="559"/>
        <item x="209"/>
        <item x="425"/>
        <item x="268"/>
        <item x="148"/>
        <item x="775"/>
        <item x="1143"/>
        <item x="375"/>
        <item x="1018"/>
        <item x="879"/>
        <item x="948"/>
        <item x="311"/>
        <item x="1105"/>
        <item x="291"/>
        <item x="750"/>
        <item x="726"/>
        <item x="900"/>
        <item x="938"/>
        <item x="300"/>
        <item x="151"/>
        <item x="728"/>
        <item x="751"/>
        <item x="310"/>
        <item x="1044"/>
        <item x="373"/>
        <item x="644"/>
        <item x="1051"/>
        <item x="769"/>
        <item x="400"/>
        <item x="807"/>
        <item x="770"/>
        <item x="20"/>
        <item x="1133"/>
        <item x="190"/>
        <item x="927"/>
        <item x="1039"/>
        <item x="1043"/>
        <item x="396"/>
        <item x="1145"/>
        <item x="883"/>
        <item x="850"/>
        <item x="405"/>
        <item x="718"/>
        <item x="178"/>
        <item x="643"/>
        <item x="696"/>
        <item x="844"/>
        <item x="235"/>
        <item x="431"/>
        <item x="112"/>
        <item x="367"/>
        <item x="710"/>
        <item x="401"/>
        <item x="583"/>
        <item x="1153"/>
        <item x="1164"/>
        <item x="157"/>
        <item x="242"/>
        <item x="39"/>
        <item x="283"/>
        <item x="247"/>
        <item x="614"/>
        <item x="174"/>
        <item x="862"/>
        <item x="1085"/>
        <item x="1060"/>
        <item x="623"/>
        <item x="1116"/>
        <item x="1036"/>
        <item x="172"/>
        <item x="404"/>
        <item x="1002"/>
        <item x="5"/>
        <item x="864"/>
        <item x="393"/>
        <item x="436"/>
        <item x="801"/>
        <item x="859"/>
        <item x="817"/>
        <item x="610"/>
        <item x="1062"/>
        <item x="872"/>
        <item x="702"/>
        <item x="1115"/>
        <item x="805"/>
        <item x="792"/>
        <item x="538"/>
        <item x="1067"/>
        <item x="64"/>
        <item x="837"/>
        <item x="492"/>
        <item x="138"/>
        <item x="467"/>
        <item x="996"/>
        <item x="712"/>
        <item x="608"/>
        <item x="335"/>
        <item x="244"/>
        <item x="474"/>
        <item x="456"/>
        <item x="180"/>
        <item x="57"/>
        <item x="889"/>
        <item x="745"/>
        <item x="397"/>
        <item x="984"/>
        <item x="79"/>
        <item x="182"/>
        <item x="321"/>
        <item x="47"/>
        <item x="458"/>
        <item x="69"/>
        <item x="548"/>
        <item x="37"/>
        <item x="260"/>
        <item x="832"/>
        <item x="820"/>
        <item x="607"/>
        <item x="200"/>
        <item x="468"/>
        <item x="193"/>
        <item x="969"/>
        <item x="871"/>
        <item x="461"/>
        <item x="711"/>
        <item x="1146"/>
        <item x="921"/>
        <item x="487"/>
        <item x="1101"/>
        <item x="236"/>
        <item x="382"/>
        <item x="102"/>
        <item x="901"/>
        <item x="1007"/>
        <item x="1154"/>
        <item x="163"/>
        <item x="285"/>
        <item x="154"/>
        <item x="1083"/>
        <item x="658"/>
        <item x="224"/>
        <item x="897"/>
        <item x="599"/>
        <item x="738"/>
        <item x="838"/>
        <item x="531"/>
        <item x="445"/>
        <item x="246"/>
        <item x="990"/>
        <item x="661"/>
        <item x="516"/>
        <item x="1035"/>
        <item x="925"/>
        <item x="1016"/>
        <item x="215"/>
        <item x="1050"/>
        <item x="967"/>
        <item x="45"/>
        <item x="717"/>
        <item x="1109"/>
        <item x="29"/>
        <item x="975"/>
        <item x="512"/>
        <item x="179"/>
        <item x="566"/>
        <item x="923"/>
        <item x="701"/>
        <item x="16"/>
        <item x="478"/>
        <item x="1053"/>
        <item x="462"/>
        <item x="48"/>
        <item x="1073"/>
        <item x="483"/>
        <item x="629"/>
        <item x="697"/>
        <item x="1107"/>
        <item x="1000"/>
        <item x="615"/>
        <item x="582"/>
        <item x="986"/>
        <item x="56"/>
        <item x="914"/>
        <item x="680"/>
        <item x="621"/>
        <item x="633"/>
        <item x="453"/>
        <item x="933"/>
        <item x="12"/>
        <item x="893"/>
        <item x="1149"/>
        <item x="191"/>
        <item x="299"/>
        <item x="275"/>
        <item x="387"/>
        <item x="595"/>
        <item x="70"/>
        <item x="960"/>
        <item x="740"/>
        <item x="1111"/>
        <item x="965"/>
        <item x="719"/>
        <item x="176"/>
        <item x="389"/>
        <item x="1128"/>
        <item x="571"/>
        <item x="429"/>
        <item x="1070"/>
        <item x="449"/>
        <item x="570"/>
        <item x="501"/>
        <item x="1026"/>
        <item x="1102"/>
        <item x="1130"/>
        <item x="920"/>
        <item x="795"/>
        <item x="875"/>
        <item x="147"/>
        <item x="315"/>
        <item x="1071"/>
        <item x="187"/>
        <item x="261"/>
        <item x="684"/>
        <item x="505"/>
        <item x="936"/>
        <item x="708"/>
      </items>
      <extLst>
        <ext xmlns:x14="http://schemas.microsoft.com/office/spreadsheetml/2009/9/main" uri="{2946ED86-A175-432a-8AC1-64E0C546D7DE}">
          <x14:pivotField fillDownLabels="1"/>
        </ext>
      </extLst>
    </pivotField>
  </pivotFields>
  <rowFields count="1">
    <field x="4"/>
  </rowFields>
  <rowItems count="5">
    <i>
      <x/>
    </i>
    <i>
      <x v="2"/>
    </i>
    <i>
      <x v="1"/>
    </i>
    <i>
      <x v="3"/>
    </i>
    <i>
      <x v="4"/>
    </i>
  </rowItems>
  <colItems count="1">
    <i/>
  </colItems>
  <dataFields count="1">
    <dataField name="% of Revenue by product" fld="7" showDataAs="percentOfTotal" baseField="0" baseItem="0" numFmtId="9"/>
  </dataFields>
  <formats count="1">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49BD39C-0AE6-4649-BD13-6FB65A669F45}" name="PivotTable1" cacheId="2"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6" rowHeaderCaption="Month">
  <location ref="C38:F52" firstHeaderRow="1" firstDataRow="2" firstDataCol="1"/>
  <pivotFields count="5">
    <pivotField allDrilled="1" subtotalTop="0" showAll="0" measureFilter="1" defaultSubtotal="0" defaultAttributeDrillState="1">
      <items count="10">
        <item x="1"/>
        <item x="7"/>
        <item x="9"/>
        <item x="0"/>
        <item x="2"/>
        <item x="3"/>
        <item x="4"/>
        <item x="5"/>
        <item x="6"/>
        <item x="8"/>
      </items>
    </pivotField>
    <pivotField axis="axisRow" allDrilled="1" subtotalTop="0" showAll="0" defaultSubtotal="0" defaultAttributeDrillState="1">
      <items count="12">
        <item x="0"/>
        <item x="1"/>
        <item x="2"/>
        <item x="3"/>
        <item x="4"/>
        <item x="5"/>
        <item x="6"/>
        <item x="7"/>
        <item x="8"/>
        <item x="9"/>
        <item x="10"/>
        <item x="11"/>
      </items>
    </pivotField>
    <pivotField axis="axisCol" allDrilled="1" subtotalTop="0" showAll="0" dataSourceSort="1" defaultSubtotal="0" defaultAttributeDrillState="1">
      <items count="2">
        <item x="0"/>
        <item x="1"/>
      </items>
    </pivotField>
    <pivotField allDrilled="1" subtotalTop="0" showAll="0" dataSourceSort="1" defaultSubtotal="0" defaultAttributeDrillState="1"/>
    <pivotField dataField="1" subtotalTop="0" showAll="0" defaultSubtotal="0"/>
  </pivotFields>
  <rowFields count="1">
    <field x="1"/>
  </rowFields>
  <rowItems count="13">
    <i>
      <x/>
    </i>
    <i>
      <x v="1"/>
    </i>
    <i>
      <x v="2"/>
    </i>
    <i>
      <x v="3"/>
    </i>
    <i>
      <x v="4"/>
    </i>
    <i>
      <x v="5"/>
    </i>
    <i>
      <x v="6"/>
    </i>
    <i>
      <x v="7"/>
    </i>
    <i>
      <x v="8"/>
    </i>
    <i>
      <x v="9"/>
    </i>
    <i>
      <x v="10"/>
    </i>
    <i>
      <x v="11"/>
    </i>
    <i t="grand">
      <x/>
    </i>
  </rowItems>
  <colFields count="1">
    <field x="2"/>
  </colFields>
  <colItems count="3">
    <i>
      <x/>
    </i>
    <i>
      <x v="1"/>
    </i>
    <i t="grand">
      <x/>
    </i>
  </colItems>
  <dataFields count="1">
    <dataField name="Revenue by month" fld="4" baseField="0" baseItem="0"/>
  </dataFields>
  <chartFormats count="3">
    <chartFormat chart="0" format="18" series="1">
      <pivotArea type="data" outline="0" fieldPosition="0">
        <references count="1">
          <reference field="2" count="1" selected="0">
            <x v="1"/>
          </reference>
        </references>
      </pivotArea>
    </chartFormat>
    <chartFormat chart="0" format="19" series="1">
      <pivotArea type="data" outline="0" fieldPosition="0">
        <references count="2">
          <reference field="4294967294" count="1" selected="0">
            <x v="0"/>
          </reference>
          <reference field="2" count="1" selected="0">
            <x v="1"/>
          </reference>
        </references>
      </pivotArea>
    </chartFormat>
    <chartFormat chart="0" format="20" series="1">
      <pivotArea type="data" outline="0" fieldPosition="0">
        <references count="2">
          <reference field="4294967294" count="1" selected="0">
            <x v="0"/>
          </reference>
          <reference field="2" count="1" selected="0">
            <x v="0"/>
          </reference>
        </references>
      </pivotArea>
    </chartFormat>
  </chartFormats>
  <pivotHierarchies count="1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Revenue by month"/>
    <pivotHierarchy dragToData="1"/>
    <pivotHierarchy dragToData="1"/>
    <pivotHierarchy dragToData="1"/>
  </pivotHierarchies>
  <pivotTableStyleInfo name="PivotStyleLight16" showRowHeaders="1" showColHeaders="1" showRowStripes="0" showColStripes="0" showLastColumn="1"/>
  <filters count="2">
    <filter fld="3" type="dateBetween" evalOrder="-1" id="41" name="[Table1  Order_Date   Revenue].[Order_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 fld="0" type="count" id="1" iMeasureHier="13">
      <autoFilter ref="A1">
        <filterColumn colId="0">
          <top10 val="10" filterVal="10"/>
        </filterColumn>
      </autoFilter>
    </filter>
  </filters>
  <rowHierarchiesUsage count="1">
    <rowHierarchyUsage hierarchyUsage="7"/>
  </rowHierarchiesUsage>
  <colHierarchiesUsage count="1">
    <colHierarchyUsage hierarchyUsage="8"/>
  </colHierarchiesUsage>
  <extLst>
    <ext xmlns:x14="http://schemas.microsoft.com/office/spreadsheetml/2009/9/main" uri="{962EF5D1-5CA2-4c93-8EF4-DBF5C05439D2}">
      <x14:pivotTableDefinition xmlns:xm="http://schemas.microsoft.com/office/excel/2006/main" calculatedMembersInFilters="1" altText="Revenue by month" hideValuesRow="1"/>
    </ext>
    <ext xmlns:x15="http://schemas.microsoft.com/office/spreadsheetml/2010/11/main" uri="{E67621CE-5B39-4880-91FE-76760E9C1902}">
      <x15:pivotTableUISettings sourceDataName="WorksheetConnection_Business_Sales_Portfolio_Project.xlsx!Table1[[Order_Date]:[Revenue]]">
        <x15:activeTabTopLevelEntity name="[Table1  Order_Date   Revenu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7694052-4765-43A0-8534-C1102D6FBEA9}" name="PivotTable2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5">
  <location ref="I19:J24" firstHeaderRow="1" firstDataRow="1" firstDataCol="1"/>
  <pivotFields count="8">
    <pivotField compact="0"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sortType="descending" defaultSubtotal="0">
      <items count="5">
        <item x="4"/>
        <item x="1"/>
        <item x="2"/>
        <item x="0"/>
        <item x="3"/>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items count="1174">
        <item x="438"/>
        <item x="207"/>
        <item x="132"/>
        <item x="13"/>
        <item x="762"/>
        <item x="61"/>
        <item x="601"/>
        <item x="509"/>
        <item x="790"/>
        <item x="998"/>
        <item x="26"/>
        <item x="671"/>
        <item x="898"/>
        <item x="228"/>
        <item x="194"/>
        <item x="1077"/>
        <item x="981"/>
        <item x="557"/>
        <item x="460"/>
        <item x="352"/>
        <item x="485"/>
        <item x="926"/>
        <item x="1125"/>
        <item x="520"/>
        <item x="1091"/>
        <item x="326"/>
        <item x="622"/>
        <item x="196"/>
        <item x="464"/>
        <item x="880"/>
        <item x="1163"/>
        <item x="605"/>
        <item x="1112"/>
        <item x="1157"/>
        <item x="1165"/>
        <item x="951"/>
        <item x="787"/>
        <item x="71"/>
        <item x="1139"/>
        <item x="1084"/>
        <item x="918"/>
        <item x="1024"/>
        <item x="953"/>
        <item x="231"/>
        <item x="137"/>
        <item x="748"/>
        <item x="422"/>
        <item x="980"/>
        <item x="305"/>
        <item x="410"/>
        <item x="318"/>
        <item x="791"/>
        <item x="195"/>
        <item x="596"/>
        <item x="971"/>
        <item x="747"/>
        <item x="690"/>
        <item x="670"/>
        <item x="437"/>
        <item x="956"/>
        <item x="1100"/>
        <item x="1031"/>
        <item x="32"/>
        <item x="428"/>
        <item x="572"/>
        <item x="640"/>
        <item x="704"/>
        <item x="395"/>
        <item x="1090"/>
        <item x="1123"/>
        <item x="1080"/>
        <item x="908"/>
        <item x="511"/>
        <item x="794"/>
        <item x="576"/>
        <item x="561"/>
        <item x="917"/>
        <item x="1028"/>
        <item x="188"/>
        <item x="929"/>
        <item x="1075"/>
        <item x="108"/>
        <item x="826"/>
        <item x="336"/>
        <item x="1041"/>
        <item x="1158"/>
        <item x="815"/>
        <item x="160"/>
        <item x="778"/>
        <item x="304"/>
        <item x="44"/>
        <item x="997"/>
        <item x="359"/>
        <item x="165"/>
        <item x="973"/>
        <item x="902"/>
        <item x="472"/>
        <item x="230"/>
        <item x="203"/>
        <item x="185"/>
        <item x="517"/>
        <item x="381"/>
        <item x="226"/>
        <item x="767"/>
        <item x="585"/>
        <item x="117"/>
        <item x="999"/>
        <item x="521"/>
        <item x="313"/>
        <item x="982"/>
        <item x="414"/>
        <item x="2"/>
        <item x="459"/>
        <item x="550"/>
        <item x="320"/>
        <item x="789"/>
        <item x="77"/>
        <item x="265"/>
        <item x="217"/>
        <item x="934"/>
        <item x="590"/>
        <item x="816"/>
        <item x="96"/>
        <item x="473"/>
        <item x="214"/>
        <item x="419"/>
        <item x="307"/>
        <item x="525"/>
        <item x="638"/>
        <item x="95"/>
        <item x="848"/>
        <item x="524"/>
        <item x="1173"/>
        <item x="434"/>
        <item x="306"/>
        <item x="709"/>
        <item x="121"/>
        <item x="930"/>
        <item x="75"/>
        <item x="298"/>
        <item x="80"/>
        <item x="443"/>
        <item x="663"/>
        <item x="1088"/>
        <item x="101"/>
        <item x="677"/>
        <item x="989"/>
        <item x="554"/>
        <item x="664"/>
        <item x="171"/>
        <item x="201"/>
        <item x="225"/>
        <item x="894"/>
        <item x="532"/>
        <item x="1034"/>
        <item x="857"/>
        <item x="97"/>
        <item x="494"/>
        <item x="115"/>
        <item x="798"/>
        <item x="36"/>
        <item x="245"/>
        <item x="983"/>
        <item x="632"/>
        <item x="237"/>
        <item x="67"/>
        <item x="126"/>
        <item x="1132"/>
        <item x="128"/>
        <item x="913"/>
        <item x="675"/>
        <item x="127"/>
        <item x="535"/>
        <item x="1008"/>
        <item x="761"/>
        <item x="639"/>
        <item x="273"/>
        <item x="1162"/>
        <item x="123"/>
        <item x="581"/>
        <item x="254"/>
        <item x="1020"/>
        <item x="220"/>
        <item x="703"/>
        <item x="881"/>
        <item x="781"/>
        <item x="120"/>
        <item x="1065"/>
        <item x="270"/>
        <item x="685"/>
        <item x="267"/>
        <item x="17"/>
        <item x="78"/>
        <item x="351"/>
        <item x="529"/>
        <item x="308"/>
        <item x="1167"/>
        <item x="735"/>
        <item x="1054"/>
        <item x="979"/>
        <item x="141"/>
        <item x="6"/>
        <item x="297"/>
        <item x="834"/>
        <item x="730"/>
        <item x="349"/>
        <item x="683"/>
        <item x="55"/>
        <item x="584"/>
        <item x="447"/>
        <item x="722"/>
        <item x="451"/>
        <item x="542"/>
        <item x="1160"/>
        <item x="406"/>
        <item x="496"/>
        <item x="941"/>
        <item x="118"/>
        <item x="534"/>
        <item x="294"/>
        <item x="564"/>
        <item x="985"/>
        <item x="452"/>
        <item x="634"/>
        <item x="1140"/>
        <item x="788"/>
        <item x="372"/>
        <item x="74"/>
        <item x="153"/>
        <item x="218"/>
        <item x="624"/>
        <item x="441"/>
        <item x="618"/>
        <item x="935"/>
        <item x="754"/>
        <item x="1094"/>
        <item x="628"/>
        <item x="327"/>
        <item x="741"/>
        <item x="606"/>
        <item x="1022"/>
        <item x="876"/>
        <item x="90"/>
        <item x="58"/>
        <item x="603"/>
        <item x="420"/>
        <item x="939"/>
        <item x="666"/>
        <item x="394"/>
        <item x="145"/>
        <item x="852"/>
        <item x="565"/>
        <item x="286"/>
        <item x="1004"/>
        <item x="111"/>
        <item x="556"/>
        <item x="552"/>
        <item x="1161"/>
        <item x="1131"/>
        <item x="860"/>
        <item x="759"/>
        <item x="669"/>
        <item x="479"/>
        <item x="142"/>
        <item x="183"/>
        <item x="829"/>
        <item x="360"/>
        <item x="593"/>
        <item x="802"/>
        <item x="506"/>
        <item x="793"/>
        <item x="470"/>
        <item x="888"/>
        <item x="720"/>
        <item x="635"/>
        <item x="113"/>
        <item x="1108"/>
        <item x="202"/>
        <item x="68"/>
        <item x="10"/>
        <item x="1171"/>
        <item x="952"/>
        <item x="963"/>
        <item x="432"/>
        <item x="1019"/>
        <item x="577"/>
        <item x="737"/>
        <item x="1137"/>
        <item x="1015"/>
        <item x="1046"/>
        <item x="1078"/>
        <item x="540"/>
        <item x="104"/>
        <item x="836"/>
        <item x="502"/>
        <item x="1096"/>
        <item x="932"/>
        <item x="909"/>
        <item x="331"/>
        <item x="573"/>
        <item x="1086"/>
        <item x="170"/>
        <item x="493"/>
        <item x="533"/>
        <item x="743"/>
        <item x="806"/>
        <item x="1097"/>
        <item x="216"/>
        <item x="527"/>
        <item x="1127"/>
        <item x="779"/>
        <item x="885"/>
        <item x="76"/>
        <item x="841"/>
        <item x="1079"/>
        <item x="488"/>
        <item x="586"/>
        <item x="28"/>
        <item x="993"/>
        <item x="250"/>
        <item x="1087"/>
        <item x="652"/>
        <item x="968"/>
        <item x="574"/>
        <item x="1124"/>
        <item x="954"/>
        <item x="362"/>
        <item x="500"/>
        <item x="705"/>
        <item x="379"/>
        <item x="771"/>
        <item x="924"/>
        <item x="1117"/>
        <item x="338"/>
        <item x="922"/>
        <item x="1122"/>
        <item x="591"/>
        <item x="33"/>
        <item x="636"/>
        <item x="1038"/>
        <item x="361"/>
        <item x="976"/>
        <item x="631"/>
        <item x="760"/>
        <item x="686"/>
        <item x="780"/>
        <item x="24"/>
        <item x="617"/>
        <item x="907"/>
        <item x="409"/>
        <item x="528"/>
        <item x="522"/>
        <item x="1135"/>
        <item x="995"/>
        <item x="211"/>
        <item x="1047"/>
        <item x="383"/>
        <item x="845"/>
        <item x="1010"/>
        <item x="962"/>
        <item x="672"/>
        <item x="700"/>
        <item x="831"/>
        <item x="833"/>
        <item x="600"/>
        <item x="964"/>
        <item x="477"/>
        <item x="342"/>
        <item x="450"/>
        <item x="974"/>
        <item x="38"/>
        <item x="655"/>
        <item x="343"/>
        <item x="873"/>
        <item x="1061"/>
        <item x="109"/>
        <item x="1011"/>
        <item x="484"/>
        <item x="1141"/>
        <item x="198"/>
        <item x="950"/>
        <item x="130"/>
        <item x="1103"/>
        <item x="495"/>
        <item x="714"/>
        <item x="580"/>
        <item x="1037"/>
        <item x="874"/>
        <item x="325"/>
        <item x="835"/>
        <item x="256"/>
        <item x="1166"/>
        <item x="678"/>
        <item x="849"/>
        <item x="277"/>
        <item x="251"/>
        <item x="602"/>
        <item x="645"/>
        <item x="619"/>
        <item x="46"/>
        <item x="1168"/>
        <item x="124"/>
        <item x="518"/>
        <item x="391"/>
        <item x="330"/>
        <item x="758"/>
        <item x="1059"/>
        <item x="560"/>
        <item x="899"/>
        <item x="421"/>
        <item x="136"/>
        <item x="987"/>
        <item x="317"/>
        <item x="457"/>
        <item x="866"/>
        <item x="119"/>
        <item x="407"/>
        <item x="99"/>
        <item x="418"/>
        <item x="519"/>
        <item x="715"/>
        <item x="424"/>
        <item x="549"/>
        <item x="682"/>
        <item x="210"/>
        <item x="249"/>
        <item x="355"/>
        <item x="1152"/>
        <item x="416"/>
        <item x="476"/>
        <item x="827"/>
        <item x="947"/>
        <item x="103"/>
        <item x="1006"/>
        <item x="175"/>
        <item x="287"/>
        <item x="510"/>
        <item x="755"/>
        <item x="1136"/>
        <item x="698"/>
        <item x="665"/>
        <item x="504"/>
        <item x="486"/>
        <item x="240"/>
        <item x="756"/>
        <item x="609"/>
        <item x="612"/>
        <item x="133"/>
        <item x="358"/>
        <item x="707"/>
        <item x="475"/>
        <item x="278"/>
        <item x="105"/>
        <item x="292"/>
        <item x="1138"/>
        <item x="604"/>
        <item x="499"/>
        <item x="334"/>
        <item x="302"/>
        <item x="544"/>
        <item x="146"/>
        <item x="797"/>
        <item x="66"/>
        <item x="732"/>
        <item x="578"/>
        <item x="426"/>
        <item x="91"/>
        <item x="919"/>
        <item x="1017"/>
        <item x="884"/>
        <item x="184"/>
        <item x="490"/>
        <item x="363"/>
        <item x="681"/>
        <item x="116"/>
        <item x="295"/>
        <item x="50"/>
        <item x="1048"/>
        <item x="878"/>
        <item x="290"/>
        <item x="143"/>
        <item x="766"/>
        <item x="125"/>
        <item x="579"/>
        <item x="691"/>
        <item x="1023"/>
        <item x="842"/>
        <item x="744"/>
        <item x="630"/>
        <item x="463"/>
        <item x="1150"/>
        <item x="853"/>
        <item x="1009"/>
        <item x="1076"/>
        <item x="659"/>
        <item x="625"/>
        <item x="568"/>
        <item x="279"/>
        <item x="1056"/>
        <item x="991"/>
        <item x="782"/>
        <item x="354"/>
        <item x="597"/>
        <item x="377"/>
        <item x="205"/>
        <item x="42"/>
        <item x="940"/>
        <item x="1066"/>
        <item x="1114"/>
        <item x="810"/>
        <item x="85"/>
        <item x="776"/>
        <item x="699"/>
        <item x="1169"/>
        <item x="742"/>
        <item x="11"/>
        <item x="865"/>
        <item x="301"/>
        <item x="657"/>
        <item x="84"/>
        <item x="1098"/>
        <item x="955"/>
        <item x="1033"/>
        <item x="803"/>
        <item x="651"/>
        <item x="526"/>
        <item x="828"/>
        <item x="466"/>
        <item x="309"/>
        <item x="575"/>
        <item x="276"/>
        <item x="1106"/>
        <item x="465"/>
        <item x="376"/>
        <item x="674"/>
        <item x="53"/>
        <item x="7"/>
        <item x="809"/>
        <item x="289"/>
        <item x="937"/>
        <item x="667"/>
        <item x="59"/>
        <item x="52"/>
        <item x="35"/>
        <item x="1068"/>
        <item x="1064"/>
        <item x="724"/>
        <item x="86"/>
        <item x="1095"/>
        <item x="22"/>
        <item x="819"/>
        <item x="646"/>
        <item x="1089"/>
        <item x="958"/>
        <item x="957"/>
        <item x="508"/>
        <item x="547"/>
        <item x="152"/>
        <item x="562"/>
        <item x="764"/>
        <item x="159"/>
        <item x="374"/>
        <item x="915"/>
        <item x="398"/>
        <item x="134"/>
        <item x="870"/>
        <item x="173"/>
        <item x="199"/>
        <item x="259"/>
        <item x="329"/>
        <item x="181"/>
        <item x="1110"/>
        <item x="346"/>
        <item x="886"/>
        <item x="263"/>
        <item x="208"/>
        <item x="856"/>
        <item x="312"/>
        <item x="539"/>
        <item x="555"/>
        <item x="333"/>
        <item x="589"/>
        <item x="489"/>
        <item x="370"/>
        <item x="319"/>
        <item x="356"/>
        <item x="706"/>
        <item x="144"/>
        <item x="694"/>
        <item x="18"/>
        <item x="122"/>
        <item x="337"/>
        <item x="903"/>
        <item x="1072"/>
        <item x="587"/>
        <item x="241"/>
        <item x="513"/>
        <item x="412"/>
        <item x="480"/>
        <item x="0"/>
        <item x="753"/>
        <item x="403"/>
        <item x="1025"/>
        <item x="653"/>
        <item x="723"/>
        <item x="1027"/>
        <item x="854"/>
        <item x="60"/>
        <item x="269"/>
        <item x="944"/>
        <item x="23"/>
        <item x="204"/>
        <item x="660"/>
        <item x="553"/>
        <item x="65"/>
        <item x="1093"/>
        <item x="1042"/>
        <item x="949"/>
        <item x="357"/>
        <item x="978"/>
        <item x="656"/>
        <item x="435"/>
        <item x="92"/>
        <item x="1001"/>
        <item x="89"/>
        <item x="213"/>
        <item x="824"/>
        <item x="114"/>
        <item x="497"/>
        <item x="729"/>
        <item x="51"/>
        <item x="611"/>
        <item x="945"/>
        <item x="491"/>
        <item x="280"/>
        <item x="1172"/>
        <item x="541"/>
        <item x="1045"/>
        <item x="773"/>
        <item x="72"/>
        <item x="93"/>
        <item x="347"/>
        <item x="637"/>
        <item x="649"/>
        <item x="693"/>
        <item x="567"/>
        <item x="316"/>
        <item x="1129"/>
        <item x="959"/>
        <item x="282"/>
        <item x="1142"/>
        <item x="647"/>
        <item x="293"/>
        <item x="415"/>
        <item x="223"/>
        <item x="135"/>
        <item x="868"/>
        <item x="530"/>
        <item x="1092"/>
        <item x="219"/>
        <item x="785"/>
        <item x="1005"/>
        <item x="1170"/>
        <item x="155"/>
        <item x="648"/>
        <item x="328"/>
        <item x="339"/>
        <item x="82"/>
        <item x="344"/>
        <item x="1057"/>
        <item x="746"/>
        <item x="423"/>
        <item x="804"/>
        <item x="1159"/>
        <item x="812"/>
        <item x="427"/>
        <item x="442"/>
        <item x="551"/>
        <item x="197"/>
        <item x="324"/>
        <item x="896"/>
        <item x="904"/>
        <item x="1121"/>
        <item x="257"/>
        <item x="413"/>
        <item x="673"/>
        <item x="1081"/>
        <item x="365"/>
        <item x="440"/>
        <item x="1"/>
        <item x="1151"/>
        <item x="232"/>
        <item x="341"/>
        <item x="162"/>
        <item x="364"/>
        <item x="189"/>
        <item x="1099"/>
        <item x="455"/>
        <item x="821"/>
        <item x="454"/>
        <item x="695"/>
        <item x="1040"/>
        <item x="233"/>
        <item x="380"/>
        <item x="281"/>
        <item x="537"/>
        <item x="31"/>
        <item x="248"/>
        <item x="887"/>
        <item x="498"/>
        <item x="1134"/>
        <item x="234"/>
        <item x="840"/>
        <item x="777"/>
        <item x="353"/>
        <item x="368"/>
        <item x="110"/>
        <item x="448"/>
        <item x="433"/>
        <item x="825"/>
        <item x="1032"/>
        <item x="9"/>
        <item x="303"/>
        <item x="992"/>
        <item x="98"/>
        <item x="877"/>
        <item x="863"/>
        <item x="107"/>
        <item x="49"/>
        <item x="62"/>
        <item x="784"/>
        <item x="378"/>
        <item x="507"/>
        <item x="768"/>
        <item x="100"/>
        <item x="799"/>
        <item x="1082"/>
        <item x="21"/>
        <item x="19"/>
        <item x="221"/>
        <item x="668"/>
        <item x="271"/>
        <item x="1144"/>
        <item x="63"/>
        <item x="430"/>
        <item x="588"/>
        <item x="166"/>
        <item x="385"/>
        <item x="772"/>
        <item x="1052"/>
        <item x="813"/>
        <item x="811"/>
        <item x="977"/>
        <item x="514"/>
        <item x="392"/>
        <item x="88"/>
        <item x="411"/>
        <item x="252"/>
        <item x="158"/>
        <item x="471"/>
        <item x="688"/>
        <item x="931"/>
        <item x="736"/>
        <item x="399"/>
        <item x="692"/>
        <item x="725"/>
        <item x="139"/>
        <item x="345"/>
        <item x="650"/>
        <item x="613"/>
        <item x="796"/>
        <item x="679"/>
        <item x="545"/>
        <item x="30"/>
        <item x="54"/>
        <item x="1119"/>
        <item x="1155"/>
        <item x="164"/>
        <item x="167"/>
        <item x="716"/>
        <item x="988"/>
        <item x="620"/>
        <item x="774"/>
        <item x="1063"/>
        <item x="73"/>
        <item x="1013"/>
        <item x="274"/>
        <item x="763"/>
        <item x="912"/>
        <item x="966"/>
        <item x="515"/>
        <item x="186"/>
        <item x="890"/>
        <item x="641"/>
        <item x="822"/>
        <item x="558"/>
        <item x="972"/>
        <item x="4"/>
        <item x="861"/>
        <item x="687"/>
        <item x="851"/>
        <item x="469"/>
        <item x="1118"/>
        <item x="895"/>
        <item x="284"/>
        <item x="823"/>
        <item x="266"/>
        <item x="350"/>
        <item x="563"/>
        <item x="177"/>
        <item x="8"/>
        <item x="243"/>
        <item x="1030"/>
        <item x="616"/>
        <item x="1055"/>
        <item x="408"/>
        <item x="340"/>
        <item x="592"/>
        <item x="332"/>
        <item x="970"/>
        <item x="25"/>
        <item x="846"/>
        <item x="296"/>
        <item x="1120"/>
        <item x="81"/>
        <item x="129"/>
        <item x="106"/>
        <item x="752"/>
        <item x="390"/>
        <item x="1021"/>
        <item x="264"/>
        <item x="786"/>
        <item x="388"/>
        <item x="14"/>
        <item x="727"/>
        <item x="830"/>
        <item x="238"/>
        <item x="156"/>
        <item x="800"/>
        <item x="961"/>
        <item x="40"/>
        <item x="1014"/>
        <item x="858"/>
        <item x="446"/>
        <item x="731"/>
        <item x="869"/>
        <item x="676"/>
        <item x="83"/>
        <item x="239"/>
        <item x="546"/>
        <item x="626"/>
        <item x="1148"/>
        <item x="905"/>
        <item x="598"/>
        <item x="847"/>
        <item x="843"/>
        <item x="818"/>
        <item x="41"/>
        <item x="481"/>
        <item x="839"/>
        <item x="749"/>
        <item x="253"/>
        <item x="867"/>
        <item x="371"/>
        <item x="733"/>
        <item x="892"/>
        <item x="654"/>
        <item x="994"/>
        <item x="906"/>
        <item x="229"/>
        <item x="1156"/>
        <item x="1029"/>
        <item x="882"/>
        <item x="783"/>
        <item x="1049"/>
        <item x="384"/>
        <item x="734"/>
        <item x="149"/>
        <item x="891"/>
        <item x="417"/>
        <item x="212"/>
        <item x="662"/>
        <item x="916"/>
        <item x="642"/>
        <item x="594"/>
        <item x="765"/>
        <item x="444"/>
        <item x="140"/>
        <item x="911"/>
        <item x="258"/>
        <item x="43"/>
        <item x="323"/>
        <item x="1003"/>
        <item x="314"/>
        <item x="288"/>
        <item x="627"/>
        <item x="1147"/>
        <item x="523"/>
        <item x="1069"/>
        <item x="131"/>
        <item x="262"/>
        <item x="150"/>
        <item x="943"/>
        <item x="366"/>
        <item x="1074"/>
        <item x="161"/>
        <item x="569"/>
        <item x="439"/>
        <item x="272"/>
        <item x="206"/>
        <item x="369"/>
        <item x="169"/>
        <item x="27"/>
        <item x="946"/>
        <item x="15"/>
        <item x="1113"/>
        <item x="536"/>
        <item x="757"/>
        <item x="322"/>
        <item x="808"/>
        <item x="192"/>
        <item x="739"/>
        <item x="255"/>
        <item x="94"/>
        <item x="227"/>
        <item x="1058"/>
        <item x="402"/>
        <item x="87"/>
        <item x="1012"/>
        <item x="689"/>
        <item x="222"/>
        <item x="928"/>
        <item x="942"/>
        <item x="1104"/>
        <item x="713"/>
        <item x="1126"/>
        <item x="910"/>
        <item x="721"/>
        <item x="3"/>
        <item x="34"/>
        <item x="168"/>
        <item x="386"/>
        <item x="348"/>
        <item x="814"/>
        <item x="503"/>
        <item x="482"/>
        <item x="543"/>
        <item x="855"/>
        <item x="559"/>
        <item x="209"/>
        <item x="425"/>
        <item x="268"/>
        <item x="148"/>
        <item x="775"/>
        <item x="1143"/>
        <item x="375"/>
        <item x="1018"/>
        <item x="879"/>
        <item x="948"/>
        <item x="311"/>
        <item x="1105"/>
        <item x="291"/>
        <item x="750"/>
        <item x="726"/>
        <item x="900"/>
        <item x="938"/>
        <item x="300"/>
        <item x="151"/>
        <item x="728"/>
        <item x="751"/>
        <item x="310"/>
        <item x="1044"/>
        <item x="373"/>
        <item x="644"/>
        <item x="1051"/>
        <item x="769"/>
        <item x="400"/>
        <item x="807"/>
        <item x="770"/>
        <item x="20"/>
        <item x="1133"/>
        <item x="190"/>
        <item x="927"/>
        <item x="1039"/>
        <item x="1043"/>
        <item x="396"/>
        <item x="1145"/>
        <item x="883"/>
        <item x="850"/>
        <item x="405"/>
        <item x="718"/>
        <item x="178"/>
        <item x="643"/>
        <item x="696"/>
        <item x="844"/>
        <item x="235"/>
        <item x="431"/>
        <item x="112"/>
        <item x="367"/>
        <item x="710"/>
        <item x="401"/>
        <item x="583"/>
        <item x="1153"/>
        <item x="1164"/>
        <item x="157"/>
        <item x="242"/>
        <item x="39"/>
        <item x="283"/>
        <item x="247"/>
        <item x="614"/>
        <item x="174"/>
        <item x="862"/>
        <item x="1085"/>
        <item x="1060"/>
        <item x="623"/>
        <item x="1116"/>
        <item x="1036"/>
        <item x="172"/>
        <item x="404"/>
        <item x="1002"/>
        <item x="5"/>
        <item x="864"/>
        <item x="393"/>
        <item x="436"/>
        <item x="801"/>
        <item x="859"/>
        <item x="817"/>
        <item x="610"/>
        <item x="1062"/>
        <item x="872"/>
        <item x="702"/>
        <item x="1115"/>
        <item x="805"/>
        <item x="792"/>
        <item x="538"/>
        <item x="1067"/>
        <item x="64"/>
        <item x="837"/>
        <item x="492"/>
        <item x="138"/>
        <item x="467"/>
        <item x="996"/>
        <item x="712"/>
        <item x="608"/>
        <item x="335"/>
        <item x="244"/>
        <item x="474"/>
        <item x="456"/>
        <item x="180"/>
        <item x="57"/>
        <item x="889"/>
        <item x="745"/>
        <item x="397"/>
        <item x="984"/>
        <item x="79"/>
        <item x="182"/>
        <item x="321"/>
        <item x="47"/>
        <item x="458"/>
        <item x="69"/>
        <item x="548"/>
        <item x="37"/>
        <item x="260"/>
        <item x="832"/>
        <item x="820"/>
        <item x="607"/>
        <item x="200"/>
        <item x="468"/>
        <item x="193"/>
        <item x="969"/>
        <item x="871"/>
        <item x="461"/>
        <item x="711"/>
        <item x="1146"/>
        <item x="921"/>
        <item x="487"/>
        <item x="1101"/>
        <item x="236"/>
        <item x="382"/>
        <item x="102"/>
        <item x="901"/>
        <item x="1007"/>
        <item x="1154"/>
        <item x="163"/>
        <item x="285"/>
        <item x="154"/>
        <item x="1083"/>
        <item x="658"/>
        <item x="224"/>
        <item x="897"/>
        <item x="599"/>
        <item x="738"/>
        <item x="838"/>
        <item x="531"/>
        <item x="445"/>
        <item x="246"/>
        <item x="990"/>
        <item x="661"/>
        <item x="516"/>
        <item x="1035"/>
        <item x="925"/>
        <item x="1016"/>
        <item x="215"/>
        <item x="1050"/>
        <item x="967"/>
        <item x="45"/>
        <item x="717"/>
        <item x="1109"/>
        <item x="29"/>
        <item x="975"/>
        <item x="512"/>
        <item x="179"/>
        <item x="566"/>
        <item x="923"/>
        <item x="701"/>
        <item x="16"/>
        <item x="478"/>
        <item x="1053"/>
        <item x="462"/>
        <item x="48"/>
        <item x="1073"/>
        <item x="483"/>
        <item x="629"/>
        <item x="697"/>
        <item x="1107"/>
        <item x="1000"/>
        <item x="615"/>
        <item x="582"/>
        <item x="986"/>
        <item x="56"/>
        <item x="914"/>
        <item x="680"/>
        <item x="621"/>
        <item x="633"/>
        <item x="453"/>
        <item x="933"/>
        <item x="12"/>
        <item x="893"/>
        <item x="1149"/>
        <item x="191"/>
        <item x="299"/>
        <item x="275"/>
        <item x="387"/>
        <item x="595"/>
        <item x="70"/>
        <item x="960"/>
        <item x="740"/>
        <item x="1111"/>
        <item x="965"/>
        <item x="719"/>
        <item x="176"/>
        <item x="389"/>
        <item x="1128"/>
        <item x="571"/>
        <item x="429"/>
        <item x="1070"/>
        <item x="449"/>
        <item x="570"/>
        <item x="501"/>
        <item x="1026"/>
        <item x="1102"/>
        <item x="1130"/>
        <item x="920"/>
        <item x="795"/>
        <item x="875"/>
        <item x="147"/>
        <item x="315"/>
        <item x="1071"/>
        <item x="187"/>
        <item x="261"/>
        <item x="684"/>
        <item x="505"/>
        <item x="936"/>
        <item x="708"/>
      </items>
      <extLst>
        <ext xmlns:x14="http://schemas.microsoft.com/office/spreadsheetml/2009/9/main" uri="{2946ED86-A175-432a-8AC1-64E0C546D7DE}">
          <x14:pivotField fillDownLabels="1"/>
        </ext>
      </extLst>
    </pivotField>
  </pivotFields>
  <rowFields count="1">
    <field x="4"/>
  </rowFields>
  <rowItems count="5">
    <i>
      <x/>
    </i>
    <i>
      <x v="2"/>
    </i>
    <i>
      <x v="1"/>
    </i>
    <i>
      <x v="3"/>
    </i>
    <i>
      <x v="4"/>
    </i>
  </rowItems>
  <colItems count="1">
    <i/>
  </colItems>
  <dataFields count="1">
    <dataField name="Revenue by product" fld="7" baseField="4"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5CF024E-7857-4BC5-B844-71371A98286B}" name="PivotTable5"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3">
  <location ref="C18:D24" firstHeaderRow="1" firstDataRow="1" firstDataCol="1"/>
  <pivotFields count="8">
    <pivotField compact="0" outline="0" showAll="0"/>
    <pivotField compact="0" numFmtId="164" outline="0" showAll="0"/>
    <pivotField compact="0" outline="0" showAll="0"/>
    <pivotField compact="0" outline="0" showAll="0" sortType="ascending">
      <items count="5">
        <item x="3"/>
        <item x="2"/>
        <item x="0"/>
        <item x="1"/>
        <item t="default"/>
      </items>
      <autoSortScope>
        <pivotArea dataOnly="0" outline="0" fieldPosition="0">
          <references count="1">
            <reference field="4294967294" count="1" selected="0">
              <x v="0"/>
            </reference>
          </references>
        </pivotArea>
      </autoSortScope>
    </pivotField>
    <pivotField axis="axisRow" compact="0" outline="0" showAll="0" sortType="descending">
      <items count="6">
        <item x="4"/>
        <item x="1"/>
        <item x="2"/>
        <item x="0"/>
        <item x="3"/>
        <item t="default"/>
      </items>
      <autoSortScope>
        <pivotArea dataOnly="0" outline="0" fieldPosition="0">
          <references count="1">
            <reference field="4294967294" count="1" selected="0">
              <x v="0"/>
            </reference>
          </references>
        </pivotArea>
      </autoSortScope>
    </pivotField>
    <pivotField dataField="1" compact="0" outline="0" showAll="0"/>
    <pivotField compact="0" outline="0" showAll="0"/>
    <pivotField compact="0" outline="0" showAll="0"/>
  </pivotFields>
  <rowFields count="1">
    <field x="4"/>
  </rowFields>
  <rowItems count="6">
    <i>
      <x/>
    </i>
    <i>
      <x v="2"/>
    </i>
    <i>
      <x v="1"/>
    </i>
    <i>
      <x v="3"/>
    </i>
    <i>
      <x v="4"/>
    </i>
    <i t="grand">
      <x/>
    </i>
  </rowItems>
  <colItems count="1">
    <i/>
  </colItems>
  <dataFields count="1">
    <dataField name="Sales by product" fld="5" baseField="4" baseItem="0"/>
  </dataFields>
  <chartFormats count="1">
    <chartFormat chart="2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ED97BCE9-E0A9-4BA3-B46D-3DA365C67C70}" sourceName="[Table1  Order_Date   Revenue].[Product]">
  <pivotTables>
    <pivotTable tabId="6" name="PivotTable1"/>
  </pivotTables>
  <data>
    <olap pivotCacheId="69782658">
      <levels count="2">
        <level uniqueName="[Table1  Order_Date   Revenue].[Product].[(All)]" sourceCaption="(All)" count="0"/>
        <level uniqueName="[Table1  Order_Date   Revenue].[Product].[Product]" sourceCaption="Product" count="5">
          <ranges>
            <range startItem="0">
              <i n="[Table1  Order_Date   Revenue].[Product].&amp;[Headphones]" c="Headphones"/>
              <i n="[Table1  Order_Date   Revenue].[Product].&amp;[Laptop]" c="Laptop"/>
              <i n="[Table1  Order_Date   Revenue].[Product].&amp;[Monitor]" c="Monitor"/>
              <i n="[Table1  Order_Date   Revenue].[Product].&amp;[Phone]" c="Phone"/>
              <i n="[Table1  Order_Date   Revenue].[Product].&amp;[Tablet]" c="Tablet"/>
            </range>
          </ranges>
        </level>
      </levels>
      <selections count="1">
        <selection n="[Table1  Order_Date   Revenue].[Produc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545191A7-2521-4061-9248-EB5142B4644C}" cache="Slicer_Product" caption="Product"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3D221A5-E568-4570-B0A5-6461892342DE}" name="Table1" displayName="Table1" ref="A1:H1501" totalsRowShown="0">
  <autoFilter ref="A1:H1501" xr:uid="{B3D221A5-E568-4570-B0A5-6461892342DE}"/>
  <sortState xmlns:xlrd2="http://schemas.microsoft.com/office/spreadsheetml/2017/richdata2" ref="A2:H1501">
    <sortCondition descending="1" ref="H1:H1501"/>
  </sortState>
  <tableColumns count="8">
    <tableColumn id="1" xr3:uid="{7B04FC2B-15B9-464D-95BB-462839D5B881}" name="Order_ID"/>
    <tableColumn id="2" xr3:uid="{E509DF0E-E004-4D7C-9D59-48A7EBDE9993}" name="Order_Date" dataDxfId="11"/>
    <tableColumn id="3" xr3:uid="{C4FE6C29-82EB-453A-8D84-402B0C3D68D4}" name="Customer_ID"/>
    <tableColumn id="4" xr3:uid="{DA0B6883-25EF-42AC-9BAB-5C5A787ACCF8}" name="Region"/>
    <tableColumn id="5" xr3:uid="{127A068F-4BDA-421B-8823-B8D6B0C92129}" name="Product"/>
    <tableColumn id="6" xr3:uid="{1D08AB18-8B84-4C30-A9CC-60EABCE84E09}" name="Quantity"/>
    <tableColumn id="7" xr3:uid="{50FD3BCC-310D-4387-A6D4-DA7B86E42721}" name="Unit_Price"/>
    <tableColumn id="8" xr3:uid="{8DFC2F5D-9D64-45A4-8C62-036ACAA0B327}" name="Revenue"/>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AD57BC6-C9D8-42B2-9CFA-F4BB5170D22D}" name="Table3" displayName="Table3" ref="A1:E6" totalsRowShown="0">
  <autoFilter ref="A1:E6" xr:uid="{0AD57BC6-C9D8-42B2-9CFA-F4BB5170D22D}"/>
  <tableColumns count="5">
    <tableColumn id="1" xr3:uid="{59D2931E-0044-47A3-A481-C936C0D2EE0E}" name="Product"/>
    <tableColumn id="2" xr3:uid="{90AE6695-1B24-4EDA-9B3A-88B1AE630B0B}" name="Category"/>
    <tableColumn id="3" xr3:uid="{FE144DB1-5FAD-4D3C-9770-73DE485BB04D}" name="Quantity"/>
    <tableColumn id="4" xr3:uid="{AF44C185-1298-46A8-BC3D-89F715711AC7}" name="Revenue" dataDxfId="10"/>
    <tableColumn id="5" xr3:uid="{330AAAB4-1EF1-44A3-B4F2-C0AAFE481B4F}" name="Unit price" dataDxfId="9">
      <calculatedColumnFormula>D2/C2</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10215BE1-C79F-46F2-AC55-00D1CF018744}" sourceName="[Table1  Order_Date   Revenue].[Order_Date]">
  <pivotTables>
    <pivotTable tabId="6" name="PivotTable1"/>
  </pivotTables>
  <state minimalRefreshVersion="6" lastRefreshVersion="6" pivotCacheId="417200987" filterType="dateBetween">
    <selection startDate="2023-01-01T00:00:00" endDate="2024-12-31T00:00:00"/>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830EB566-F6D1-4095-A427-6D388728438E}" cache="Timeline_Order_Date" caption="Order_Date" level="0" selectionLevel="0"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4.xml"/><Relationship Id="rId7" Type="http://schemas.openxmlformats.org/officeDocument/2006/relationships/drawing" Target="../drawings/drawing1.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rinterSettings" Target="../printerSettings/printerSettings1.bin"/><Relationship Id="rId5" Type="http://schemas.openxmlformats.org/officeDocument/2006/relationships/pivotTable" Target="../pivotTables/pivotTable6.xml"/><Relationship Id="rId4" Type="http://schemas.openxmlformats.org/officeDocument/2006/relationships/pivotTable" Target="../pivotTables/pivotTable5.xml"/><Relationship Id="rId9"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501"/>
  <sheetViews>
    <sheetView workbookViewId="0">
      <selection activeCell="J15" sqref="J15"/>
    </sheetView>
  </sheetViews>
  <sheetFormatPr defaultRowHeight="15" x14ac:dyDescent="0.25"/>
  <cols>
    <col min="1" max="1" width="11.140625" customWidth="1"/>
    <col min="2" max="2" width="13.42578125" customWidth="1"/>
    <col min="3" max="3" width="14.5703125" customWidth="1"/>
    <col min="4" max="4" width="9.28515625" customWidth="1"/>
    <col min="5" max="5" width="10" customWidth="1"/>
    <col min="6" max="6" width="10.85546875" customWidth="1"/>
    <col min="7" max="7" width="12.42578125" customWidth="1"/>
    <col min="8" max="8" width="11" customWidth="1"/>
  </cols>
  <sheetData>
    <row r="1" spans="1:8" x14ac:dyDescent="0.25">
      <c r="A1" t="s">
        <v>0</v>
      </c>
      <c r="B1" t="s">
        <v>1</v>
      </c>
      <c r="C1" t="s">
        <v>2</v>
      </c>
      <c r="D1" t="s">
        <v>3</v>
      </c>
      <c r="E1" t="s">
        <v>4</v>
      </c>
      <c r="F1" t="s">
        <v>5</v>
      </c>
      <c r="G1" t="s">
        <v>6</v>
      </c>
      <c r="H1" t="s">
        <v>7</v>
      </c>
    </row>
    <row r="2" spans="1:8" x14ac:dyDescent="0.25">
      <c r="A2" t="s">
        <v>1091</v>
      </c>
      <c r="B2" s="1">
        <v>45342</v>
      </c>
      <c r="C2" t="s">
        <v>240</v>
      </c>
      <c r="D2" t="s">
        <v>27</v>
      </c>
      <c r="E2" t="s">
        <v>35</v>
      </c>
      <c r="F2">
        <v>5</v>
      </c>
      <c r="G2">
        <v>1200</v>
      </c>
      <c r="H2">
        <v>6000</v>
      </c>
    </row>
    <row r="3" spans="1:8" x14ac:dyDescent="0.25">
      <c r="A3" t="s">
        <v>1412</v>
      </c>
      <c r="B3" s="1">
        <v>44993</v>
      </c>
      <c r="C3" t="s">
        <v>675</v>
      </c>
      <c r="D3" t="s">
        <v>20</v>
      </c>
      <c r="E3" t="s">
        <v>35</v>
      </c>
      <c r="F3">
        <v>5</v>
      </c>
      <c r="G3">
        <v>1197</v>
      </c>
      <c r="H3">
        <v>5985</v>
      </c>
    </row>
    <row r="4" spans="1:8" x14ac:dyDescent="0.25">
      <c r="A4" t="s">
        <v>823</v>
      </c>
      <c r="B4" s="1">
        <v>45322</v>
      </c>
      <c r="C4" t="s">
        <v>824</v>
      </c>
      <c r="D4" t="s">
        <v>20</v>
      </c>
      <c r="E4" t="s">
        <v>11</v>
      </c>
      <c r="F4">
        <v>5</v>
      </c>
      <c r="G4">
        <v>1196</v>
      </c>
      <c r="H4">
        <v>5980</v>
      </c>
    </row>
    <row r="5" spans="1:8" x14ac:dyDescent="0.25">
      <c r="A5" t="s">
        <v>1057</v>
      </c>
      <c r="B5" s="1">
        <v>45190</v>
      </c>
      <c r="C5" t="s">
        <v>345</v>
      </c>
      <c r="D5" t="s">
        <v>17</v>
      </c>
      <c r="E5" t="s">
        <v>25</v>
      </c>
      <c r="F5">
        <v>5</v>
      </c>
      <c r="G5">
        <v>1195</v>
      </c>
      <c r="H5">
        <v>5975</v>
      </c>
    </row>
    <row r="6" spans="1:8" x14ac:dyDescent="0.25">
      <c r="A6" t="s">
        <v>1649</v>
      </c>
      <c r="B6" s="1">
        <v>45591</v>
      </c>
      <c r="C6" t="s">
        <v>566</v>
      </c>
      <c r="D6" t="s">
        <v>27</v>
      </c>
      <c r="E6" t="s">
        <v>14</v>
      </c>
      <c r="F6">
        <v>5</v>
      </c>
      <c r="G6">
        <v>1195</v>
      </c>
      <c r="H6">
        <v>5975</v>
      </c>
    </row>
    <row r="7" spans="1:8" x14ac:dyDescent="0.25">
      <c r="A7" t="s">
        <v>476</v>
      </c>
      <c r="B7" s="1">
        <v>45419</v>
      </c>
      <c r="C7" t="s">
        <v>477</v>
      </c>
      <c r="D7" t="s">
        <v>27</v>
      </c>
      <c r="E7" t="s">
        <v>25</v>
      </c>
      <c r="F7">
        <v>5</v>
      </c>
      <c r="G7">
        <v>1191</v>
      </c>
      <c r="H7">
        <v>5955</v>
      </c>
    </row>
    <row r="8" spans="1:8" x14ac:dyDescent="0.25">
      <c r="A8" t="s">
        <v>357</v>
      </c>
      <c r="B8" s="1">
        <v>45522</v>
      </c>
      <c r="C8" t="s">
        <v>358</v>
      </c>
      <c r="D8" t="s">
        <v>10</v>
      </c>
      <c r="E8" t="s">
        <v>14</v>
      </c>
      <c r="F8">
        <v>5</v>
      </c>
      <c r="G8">
        <v>1190</v>
      </c>
      <c r="H8">
        <v>5950</v>
      </c>
    </row>
    <row r="9" spans="1:8" x14ac:dyDescent="0.25">
      <c r="A9" t="s">
        <v>1620</v>
      </c>
      <c r="B9" s="1">
        <v>45232</v>
      </c>
      <c r="C9" t="s">
        <v>104</v>
      </c>
      <c r="D9" t="s">
        <v>10</v>
      </c>
      <c r="E9" t="s">
        <v>14</v>
      </c>
      <c r="F9">
        <v>5</v>
      </c>
      <c r="G9">
        <v>1189</v>
      </c>
      <c r="H9">
        <v>5945</v>
      </c>
    </row>
    <row r="10" spans="1:8" x14ac:dyDescent="0.25">
      <c r="A10" t="s">
        <v>548</v>
      </c>
      <c r="B10" s="1">
        <v>45409</v>
      </c>
      <c r="C10" t="s">
        <v>171</v>
      </c>
      <c r="D10" t="s">
        <v>10</v>
      </c>
      <c r="E10" t="s">
        <v>11</v>
      </c>
      <c r="F10">
        <v>5</v>
      </c>
      <c r="G10">
        <v>1185</v>
      </c>
      <c r="H10">
        <v>5925</v>
      </c>
    </row>
    <row r="11" spans="1:8" x14ac:dyDescent="0.25">
      <c r="A11" t="s">
        <v>285</v>
      </c>
      <c r="B11" s="1">
        <v>45038</v>
      </c>
      <c r="C11" t="s">
        <v>286</v>
      </c>
      <c r="D11" t="s">
        <v>27</v>
      </c>
      <c r="E11" t="s">
        <v>11</v>
      </c>
      <c r="F11">
        <v>5</v>
      </c>
      <c r="G11">
        <v>1183</v>
      </c>
      <c r="H11">
        <v>5915</v>
      </c>
    </row>
    <row r="12" spans="1:8" x14ac:dyDescent="0.25">
      <c r="A12" t="s">
        <v>742</v>
      </c>
      <c r="B12" s="1">
        <v>45196</v>
      </c>
      <c r="C12" t="s">
        <v>313</v>
      </c>
      <c r="D12" t="s">
        <v>17</v>
      </c>
      <c r="E12" t="s">
        <v>25</v>
      </c>
      <c r="F12">
        <v>5</v>
      </c>
      <c r="G12">
        <v>1183</v>
      </c>
      <c r="H12">
        <v>5915</v>
      </c>
    </row>
    <row r="13" spans="1:8" x14ac:dyDescent="0.25">
      <c r="A13" t="s">
        <v>1315</v>
      </c>
      <c r="B13" s="1">
        <v>45325</v>
      </c>
      <c r="C13" t="s">
        <v>51</v>
      </c>
      <c r="D13" t="s">
        <v>17</v>
      </c>
      <c r="E13" t="s">
        <v>32</v>
      </c>
      <c r="F13">
        <v>5</v>
      </c>
      <c r="G13">
        <v>1181</v>
      </c>
      <c r="H13">
        <v>5905</v>
      </c>
    </row>
    <row r="14" spans="1:8" x14ac:dyDescent="0.25">
      <c r="A14" t="s">
        <v>1210</v>
      </c>
      <c r="B14" s="1">
        <v>45572</v>
      </c>
      <c r="C14" t="s">
        <v>444</v>
      </c>
      <c r="D14" t="s">
        <v>17</v>
      </c>
      <c r="E14" t="s">
        <v>11</v>
      </c>
      <c r="F14">
        <v>5</v>
      </c>
      <c r="G14">
        <v>1179</v>
      </c>
      <c r="H14">
        <v>5895</v>
      </c>
    </row>
    <row r="15" spans="1:8" x14ac:dyDescent="0.25">
      <c r="A15" t="s">
        <v>1384</v>
      </c>
      <c r="B15" s="1">
        <v>45335</v>
      </c>
      <c r="C15" t="s">
        <v>98</v>
      </c>
      <c r="D15" t="s">
        <v>10</v>
      </c>
      <c r="E15" t="s">
        <v>25</v>
      </c>
      <c r="F15">
        <v>5</v>
      </c>
      <c r="G15">
        <v>1174</v>
      </c>
      <c r="H15">
        <v>5870</v>
      </c>
    </row>
    <row r="16" spans="1:8" x14ac:dyDescent="0.25">
      <c r="A16" t="s">
        <v>1725</v>
      </c>
      <c r="B16" s="1">
        <v>45548</v>
      </c>
      <c r="C16" t="s">
        <v>216</v>
      </c>
      <c r="D16" t="s">
        <v>17</v>
      </c>
      <c r="E16" t="s">
        <v>14</v>
      </c>
      <c r="F16">
        <v>5</v>
      </c>
      <c r="G16">
        <v>1169</v>
      </c>
      <c r="H16">
        <v>5845</v>
      </c>
    </row>
    <row r="17" spans="1:8" x14ac:dyDescent="0.25">
      <c r="A17" t="s">
        <v>1679</v>
      </c>
      <c r="B17" s="1">
        <v>45196</v>
      </c>
      <c r="C17" t="s">
        <v>278</v>
      </c>
      <c r="D17" t="s">
        <v>20</v>
      </c>
      <c r="E17" t="s">
        <v>14</v>
      </c>
      <c r="F17">
        <v>5</v>
      </c>
      <c r="G17">
        <v>1168</v>
      </c>
      <c r="H17">
        <v>5840</v>
      </c>
    </row>
    <row r="18" spans="1:8" x14ac:dyDescent="0.25">
      <c r="A18" t="s">
        <v>1540</v>
      </c>
      <c r="B18" s="1">
        <v>45227</v>
      </c>
      <c r="C18" t="s">
        <v>603</v>
      </c>
      <c r="D18" t="s">
        <v>20</v>
      </c>
      <c r="E18" t="s">
        <v>14</v>
      </c>
      <c r="F18">
        <v>5</v>
      </c>
      <c r="G18">
        <v>1167</v>
      </c>
      <c r="H18">
        <v>5835</v>
      </c>
    </row>
    <row r="19" spans="1:8" x14ac:dyDescent="0.25">
      <c r="A19" t="s">
        <v>817</v>
      </c>
      <c r="B19" s="1">
        <v>44946</v>
      </c>
      <c r="C19" t="s">
        <v>818</v>
      </c>
      <c r="D19" t="s">
        <v>27</v>
      </c>
      <c r="E19" t="s">
        <v>35</v>
      </c>
      <c r="F19">
        <v>5</v>
      </c>
      <c r="G19">
        <v>1166</v>
      </c>
      <c r="H19">
        <v>5830</v>
      </c>
    </row>
    <row r="20" spans="1:8" x14ac:dyDescent="0.25">
      <c r="A20" t="s">
        <v>906</v>
      </c>
      <c r="B20" s="1">
        <v>44988</v>
      </c>
      <c r="C20" t="s">
        <v>384</v>
      </c>
      <c r="D20" t="s">
        <v>10</v>
      </c>
      <c r="E20" t="s">
        <v>25</v>
      </c>
      <c r="F20">
        <v>5</v>
      </c>
      <c r="G20">
        <v>1161</v>
      </c>
      <c r="H20">
        <v>5805</v>
      </c>
    </row>
    <row r="21" spans="1:8" x14ac:dyDescent="0.25">
      <c r="A21" t="s">
        <v>1513</v>
      </c>
      <c r="B21" s="1">
        <v>45438</v>
      </c>
      <c r="C21" t="s">
        <v>551</v>
      </c>
      <c r="D21" t="s">
        <v>17</v>
      </c>
      <c r="E21" t="s">
        <v>35</v>
      </c>
      <c r="F21">
        <v>5</v>
      </c>
      <c r="G21">
        <v>1161</v>
      </c>
      <c r="H21">
        <v>5805</v>
      </c>
    </row>
    <row r="22" spans="1:8" x14ac:dyDescent="0.25">
      <c r="A22" t="s">
        <v>747</v>
      </c>
      <c r="B22" s="1">
        <v>45451</v>
      </c>
      <c r="C22" t="s">
        <v>117</v>
      </c>
      <c r="D22" t="s">
        <v>20</v>
      </c>
      <c r="E22" t="s">
        <v>35</v>
      </c>
      <c r="F22">
        <v>5</v>
      </c>
      <c r="G22">
        <v>1153</v>
      </c>
      <c r="H22">
        <v>5765</v>
      </c>
    </row>
    <row r="23" spans="1:8" x14ac:dyDescent="0.25">
      <c r="A23" t="s">
        <v>1739</v>
      </c>
      <c r="B23" s="1">
        <v>44967</v>
      </c>
      <c r="C23" t="s">
        <v>848</v>
      </c>
      <c r="D23" t="s">
        <v>20</v>
      </c>
      <c r="E23" t="s">
        <v>25</v>
      </c>
      <c r="F23">
        <v>5</v>
      </c>
      <c r="G23">
        <v>1153</v>
      </c>
      <c r="H23">
        <v>5765</v>
      </c>
    </row>
    <row r="24" spans="1:8" x14ac:dyDescent="0.25">
      <c r="A24" t="s">
        <v>1619</v>
      </c>
      <c r="B24" s="1">
        <v>45540</v>
      </c>
      <c r="C24" t="s">
        <v>22</v>
      </c>
      <c r="D24" t="s">
        <v>27</v>
      </c>
      <c r="E24" t="s">
        <v>32</v>
      </c>
      <c r="F24">
        <v>5</v>
      </c>
      <c r="G24">
        <v>1152</v>
      </c>
      <c r="H24">
        <v>5760</v>
      </c>
    </row>
    <row r="25" spans="1:8" x14ac:dyDescent="0.25">
      <c r="A25" t="s">
        <v>721</v>
      </c>
      <c r="B25" s="1">
        <v>45388</v>
      </c>
      <c r="C25" t="s">
        <v>115</v>
      </c>
      <c r="D25" t="s">
        <v>17</v>
      </c>
      <c r="E25" t="s">
        <v>11</v>
      </c>
      <c r="F25">
        <v>5</v>
      </c>
      <c r="G25">
        <v>1151</v>
      </c>
      <c r="H25">
        <v>5755</v>
      </c>
    </row>
    <row r="26" spans="1:8" x14ac:dyDescent="0.25">
      <c r="A26" t="s">
        <v>946</v>
      </c>
      <c r="B26" s="1">
        <v>45460</v>
      </c>
      <c r="C26" t="s">
        <v>183</v>
      </c>
      <c r="D26" t="s">
        <v>27</v>
      </c>
      <c r="E26" t="s">
        <v>25</v>
      </c>
      <c r="F26">
        <v>5</v>
      </c>
      <c r="G26">
        <v>1151</v>
      </c>
      <c r="H26">
        <v>5755</v>
      </c>
    </row>
    <row r="27" spans="1:8" x14ac:dyDescent="0.25">
      <c r="A27" t="s">
        <v>907</v>
      </c>
      <c r="B27" s="1">
        <v>45058</v>
      </c>
      <c r="C27" t="s">
        <v>146</v>
      </c>
      <c r="D27" t="s">
        <v>10</v>
      </c>
      <c r="E27" t="s">
        <v>25</v>
      </c>
      <c r="F27">
        <v>5</v>
      </c>
      <c r="G27">
        <v>1146</v>
      </c>
      <c r="H27">
        <v>5730</v>
      </c>
    </row>
    <row r="28" spans="1:8" x14ac:dyDescent="0.25">
      <c r="A28" t="s">
        <v>1183</v>
      </c>
      <c r="B28" s="1">
        <v>45546</v>
      </c>
      <c r="C28" t="s">
        <v>1184</v>
      </c>
      <c r="D28" t="s">
        <v>10</v>
      </c>
      <c r="E28" t="s">
        <v>32</v>
      </c>
      <c r="F28">
        <v>5</v>
      </c>
      <c r="G28">
        <v>1146</v>
      </c>
      <c r="H28">
        <v>5730</v>
      </c>
    </row>
    <row r="29" spans="1:8" x14ac:dyDescent="0.25">
      <c r="A29" t="s">
        <v>1719</v>
      </c>
      <c r="B29" s="1">
        <v>45075</v>
      </c>
      <c r="C29" t="s">
        <v>252</v>
      </c>
      <c r="D29" t="s">
        <v>20</v>
      </c>
      <c r="E29" t="s">
        <v>25</v>
      </c>
      <c r="F29">
        <v>5</v>
      </c>
      <c r="G29">
        <v>1145</v>
      </c>
      <c r="H29">
        <v>5725</v>
      </c>
    </row>
    <row r="30" spans="1:8" x14ac:dyDescent="0.25">
      <c r="A30" t="s">
        <v>661</v>
      </c>
      <c r="B30" s="1">
        <v>45443</v>
      </c>
      <c r="C30" t="s">
        <v>154</v>
      </c>
      <c r="D30" t="s">
        <v>20</v>
      </c>
      <c r="E30" t="s">
        <v>32</v>
      </c>
      <c r="F30">
        <v>5</v>
      </c>
      <c r="G30">
        <v>1134</v>
      </c>
      <c r="H30">
        <v>5670</v>
      </c>
    </row>
    <row r="31" spans="1:8" x14ac:dyDescent="0.25">
      <c r="A31" t="s">
        <v>339</v>
      </c>
      <c r="B31" s="1">
        <v>45501</v>
      </c>
      <c r="C31" t="s">
        <v>306</v>
      </c>
      <c r="D31" t="s">
        <v>10</v>
      </c>
      <c r="E31" t="s">
        <v>32</v>
      </c>
      <c r="F31">
        <v>5</v>
      </c>
      <c r="G31">
        <v>1128</v>
      </c>
      <c r="H31">
        <v>5640</v>
      </c>
    </row>
    <row r="32" spans="1:8" x14ac:dyDescent="0.25">
      <c r="A32" t="s">
        <v>1599</v>
      </c>
      <c r="B32" s="1">
        <v>45370</v>
      </c>
      <c r="C32" t="s">
        <v>284</v>
      </c>
      <c r="D32" t="s">
        <v>27</v>
      </c>
      <c r="E32" t="s">
        <v>14</v>
      </c>
      <c r="F32">
        <v>5</v>
      </c>
      <c r="G32">
        <v>1128</v>
      </c>
      <c r="H32">
        <v>5640</v>
      </c>
    </row>
    <row r="33" spans="1:8" x14ac:dyDescent="0.25">
      <c r="A33" t="s">
        <v>1669</v>
      </c>
      <c r="B33" s="1">
        <v>44959</v>
      </c>
      <c r="C33" t="s">
        <v>138</v>
      </c>
      <c r="D33" t="s">
        <v>17</v>
      </c>
      <c r="E33" t="s">
        <v>32</v>
      </c>
      <c r="F33">
        <v>5</v>
      </c>
      <c r="G33">
        <v>1128</v>
      </c>
      <c r="H33">
        <v>5640</v>
      </c>
    </row>
    <row r="34" spans="1:8" x14ac:dyDescent="0.25">
      <c r="A34" t="s">
        <v>1107</v>
      </c>
      <c r="B34" s="1">
        <v>45260</v>
      </c>
      <c r="C34" t="s">
        <v>67</v>
      </c>
      <c r="D34" t="s">
        <v>20</v>
      </c>
      <c r="E34" t="s">
        <v>14</v>
      </c>
      <c r="F34">
        <v>5</v>
      </c>
      <c r="G34">
        <v>1127</v>
      </c>
      <c r="H34">
        <v>5635</v>
      </c>
    </row>
    <row r="35" spans="1:8" x14ac:dyDescent="0.25">
      <c r="A35" t="s">
        <v>1462</v>
      </c>
      <c r="B35" s="1">
        <v>45360</v>
      </c>
      <c r="C35" t="s">
        <v>785</v>
      </c>
      <c r="D35" t="s">
        <v>10</v>
      </c>
      <c r="E35" t="s">
        <v>11</v>
      </c>
      <c r="F35">
        <v>5</v>
      </c>
      <c r="G35">
        <v>1125</v>
      </c>
      <c r="H35">
        <v>5625</v>
      </c>
    </row>
    <row r="36" spans="1:8" x14ac:dyDescent="0.25">
      <c r="A36" t="s">
        <v>1693</v>
      </c>
      <c r="B36" s="1">
        <v>45284</v>
      </c>
      <c r="C36" t="s">
        <v>642</v>
      </c>
      <c r="D36" t="s">
        <v>17</v>
      </c>
      <c r="E36" t="s">
        <v>35</v>
      </c>
      <c r="F36">
        <v>5</v>
      </c>
      <c r="G36">
        <v>1114</v>
      </c>
      <c r="H36">
        <v>5570</v>
      </c>
    </row>
    <row r="37" spans="1:8" x14ac:dyDescent="0.25">
      <c r="A37" t="s">
        <v>1134</v>
      </c>
      <c r="B37" s="1">
        <v>45177</v>
      </c>
      <c r="C37" t="s">
        <v>80</v>
      </c>
      <c r="D37" t="s">
        <v>20</v>
      </c>
      <c r="E37" t="s">
        <v>35</v>
      </c>
      <c r="F37">
        <v>5</v>
      </c>
      <c r="G37">
        <v>1111</v>
      </c>
      <c r="H37">
        <v>5555</v>
      </c>
    </row>
    <row r="38" spans="1:8" x14ac:dyDescent="0.25">
      <c r="A38" t="s">
        <v>1179</v>
      </c>
      <c r="B38" s="1">
        <v>45133</v>
      </c>
      <c r="C38" t="s">
        <v>254</v>
      </c>
      <c r="D38" t="s">
        <v>20</v>
      </c>
      <c r="E38" t="s">
        <v>11</v>
      </c>
      <c r="F38">
        <v>5</v>
      </c>
      <c r="G38">
        <v>1111</v>
      </c>
      <c r="H38">
        <v>5555</v>
      </c>
    </row>
    <row r="39" spans="1:8" x14ac:dyDescent="0.25">
      <c r="A39" t="s">
        <v>1449</v>
      </c>
      <c r="B39" s="1">
        <v>45456</v>
      </c>
      <c r="C39" t="s">
        <v>1450</v>
      </c>
      <c r="D39" t="s">
        <v>20</v>
      </c>
      <c r="E39" t="s">
        <v>35</v>
      </c>
      <c r="F39">
        <v>5</v>
      </c>
      <c r="G39">
        <v>1110</v>
      </c>
      <c r="H39">
        <v>5550</v>
      </c>
    </row>
    <row r="40" spans="1:8" x14ac:dyDescent="0.25">
      <c r="A40" t="s">
        <v>153</v>
      </c>
      <c r="B40" s="1">
        <v>45616</v>
      </c>
      <c r="C40" t="s">
        <v>154</v>
      </c>
      <c r="D40" t="s">
        <v>20</v>
      </c>
      <c r="E40" t="s">
        <v>11</v>
      </c>
      <c r="F40">
        <v>5</v>
      </c>
      <c r="G40">
        <v>1108</v>
      </c>
      <c r="H40">
        <v>5540</v>
      </c>
    </row>
    <row r="41" spans="1:8" x14ac:dyDescent="0.25">
      <c r="A41" t="s">
        <v>1813</v>
      </c>
      <c r="B41" s="1">
        <v>45549</v>
      </c>
      <c r="C41" t="s">
        <v>313</v>
      </c>
      <c r="D41" t="s">
        <v>20</v>
      </c>
      <c r="E41" t="s">
        <v>11</v>
      </c>
      <c r="F41">
        <v>5</v>
      </c>
      <c r="G41">
        <v>1108</v>
      </c>
      <c r="H41">
        <v>5540</v>
      </c>
    </row>
    <row r="42" spans="1:8" x14ac:dyDescent="0.25">
      <c r="A42" t="s">
        <v>941</v>
      </c>
      <c r="B42" s="1">
        <v>45348</v>
      </c>
      <c r="C42" t="s">
        <v>272</v>
      </c>
      <c r="D42" t="s">
        <v>17</v>
      </c>
      <c r="E42" t="s">
        <v>25</v>
      </c>
      <c r="F42">
        <v>5</v>
      </c>
      <c r="G42">
        <v>1101</v>
      </c>
      <c r="H42">
        <v>5505</v>
      </c>
    </row>
    <row r="43" spans="1:8" x14ac:dyDescent="0.25">
      <c r="A43" t="s">
        <v>659</v>
      </c>
      <c r="B43" s="1">
        <v>45155</v>
      </c>
      <c r="C43" t="s">
        <v>80</v>
      </c>
      <c r="D43" t="s">
        <v>17</v>
      </c>
      <c r="E43" t="s">
        <v>14</v>
      </c>
      <c r="F43">
        <v>5</v>
      </c>
      <c r="G43">
        <v>1100</v>
      </c>
      <c r="H43">
        <v>5500</v>
      </c>
    </row>
    <row r="44" spans="1:8" x14ac:dyDescent="0.25">
      <c r="A44" t="s">
        <v>495</v>
      </c>
      <c r="B44" s="1">
        <v>45090</v>
      </c>
      <c r="C44" t="s">
        <v>401</v>
      </c>
      <c r="D44" t="s">
        <v>27</v>
      </c>
      <c r="E44" t="s">
        <v>14</v>
      </c>
      <c r="F44">
        <v>5</v>
      </c>
      <c r="G44">
        <v>1096</v>
      </c>
      <c r="H44">
        <v>5480</v>
      </c>
    </row>
    <row r="45" spans="1:8" x14ac:dyDescent="0.25">
      <c r="A45" t="s">
        <v>525</v>
      </c>
      <c r="B45" s="1">
        <v>44972</v>
      </c>
      <c r="C45" t="s">
        <v>130</v>
      </c>
      <c r="D45" t="s">
        <v>17</v>
      </c>
      <c r="E45" t="s">
        <v>35</v>
      </c>
      <c r="F45">
        <v>5</v>
      </c>
      <c r="G45">
        <v>1088</v>
      </c>
      <c r="H45">
        <v>5440</v>
      </c>
    </row>
    <row r="46" spans="1:8" x14ac:dyDescent="0.25">
      <c r="A46" t="s">
        <v>365</v>
      </c>
      <c r="B46" s="1">
        <v>45440</v>
      </c>
      <c r="C46" t="s">
        <v>332</v>
      </c>
      <c r="D46" t="s">
        <v>20</v>
      </c>
      <c r="E46" t="s">
        <v>11</v>
      </c>
      <c r="F46">
        <v>5</v>
      </c>
      <c r="G46">
        <v>1087</v>
      </c>
      <c r="H46">
        <v>5435</v>
      </c>
    </row>
    <row r="47" spans="1:8" x14ac:dyDescent="0.25">
      <c r="A47" t="s">
        <v>1764</v>
      </c>
      <c r="B47" s="1">
        <v>45627</v>
      </c>
      <c r="C47" t="s">
        <v>324</v>
      </c>
      <c r="D47" t="s">
        <v>10</v>
      </c>
      <c r="E47" t="s">
        <v>35</v>
      </c>
      <c r="F47">
        <v>5</v>
      </c>
      <c r="G47">
        <v>1079</v>
      </c>
      <c r="H47">
        <v>5395</v>
      </c>
    </row>
    <row r="48" spans="1:8" x14ac:dyDescent="0.25">
      <c r="A48" t="s">
        <v>1342</v>
      </c>
      <c r="B48" s="1">
        <v>45403</v>
      </c>
      <c r="C48" t="s">
        <v>278</v>
      </c>
      <c r="D48" t="s">
        <v>27</v>
      </c>
      <c r="E48" t="s">
        <v>11</v>
      </c>
      <c r="F48">
        <v>5</v>
      </c>
      <c r="G48">
        <v>1077</v>
      </c>
      <c r="H48">
        <v>5385</v>
      </c>
    </row>
    <row r="49" spans="1:8" x14ac:dyDescent="0.25">
      <c r="A49" t="s">
        <v>40</v>
      </c>
      <c r="B49" s="1">
        <v>45223</v>
      </c>
      <c r="C49" t="s">
        <v>41</v>
      </c>
      <c r="D49" t="s">
        <v>17</v>
      </c>
      <c r="E49" t="s">
        <v>32</v>
      </c>
      <c r="F49">
        <v>5</v>
      </c>
      <c r="G49">
        <v>1072</v>
      </c>
      <c r="H49">
        <v>5360</v>
      </c>
    </row>
    <row r="50" spans="1:8" x14ac:dyDescent="0.25">
      <c r="A50" t="s">
        <v>1407</v>
      </c>
      <c r="B50" s="1">
        <v>45331</v>
      </c>
      <c r="C50" t="s">
        <v>278</v>
      </c>
      <c r="D50" t="s">
        <v>17</v>
      </c>
      <c r="E50" t="s">
        <v>11</v>
      </c>
      <c r="F50">
        <v>5</v>
      </c>
      <c r="G50">
        <v>1070</v>
      </c>
      <c r="H50">
        <v>5350</v>
      </c>
    </row>
    <row r="51" spans="1:8" x14ac:dyDescent="0.25">
      <c r="A51" t="s">
        <v>1457</v>
      </c>
      <c r="B51" s="1">
        <v>45447</v>
      </c>
      <c r="C51" t="s">
        <v>570</v>
      </c>
      <c r="D51" t="s">
        <v>20</v>
      </c>
      <c r="E51" t="s">
        <v>14</v>
      </c>
      <c r="F51">
        <v>5</v>
      </c>
      <c r="G51">
        <v>1070</v>
      </c>
      <c r="H51">
        <v>5350</v>
      </c>
    </row>
    <row r="52" spans="1:8" x14ac:dyDescent="0.25">
      <c r="A52" t="s">
        <v>752</v>
      </c>
      <c r="B52" s="1">
        <v>45591</v>
      </c>
      <c r="C52" t="s">
        <v>753</v>
      </c>
      <c r="D52" t="s">
        <v>20</v>
      </c>
      <c r="E52" t="s">
        <v>32</v>
      </c>
      <c r="F52">
        <v>5</v>
      </c>
      <c r="G52">
        <v>1060</v>
      </c>
      <c r="H52">
        <v>5300</v>
      </c>
    </row>
    <row r="53" spans="1:8" x14ac:dyDescent="0.25">
      <c r="A53" t="s">
        <v>991</v>
      </c>
      <c r="B53" s="1">
        <v>44993</v>
      </c>
      <c r="C53" t="s">
        <v>480</v>
      </c>
      <c r="D53" t="s">
        <v>27</v>
      </c>
      <c r="E53" t="s">
        <v>11</v>
      </c>
      <c r="F53">
        <v>5</v>
      </c>
      <c r="G53">
        <v>1044</v>
      </c>
      <c r="H53">
        <v>5220</v>
      </c>
    </row>
    <row r="54" spans="1:8" x14ac:dyDescent="0.25">
      <c r="A54" t="s">
        <v>975</v>
      </c>
      <c r="B54" s="1">
        <v>45313</v>
      </c>
      <c r="C54" t="s">
        <v>278</v>
      </c>
      <c r="D54" t="s">
        <v>10</v>
      </c>
      <c r="E54" t="s">
        <v>11</v>
      </c>
      <c r="F54">
        <v>5</v>
      </c>
      <c r="G54">
        <v>1035</v>
      </c>
      <c r="H54">
        <v>5175</v>
      </c>
    </row>
    <row r="55" spans="1:8" x14ac:dyDescent="0.25">
      <c r="A55" t="s">
        <v>1049</v>
      </c>
      <c r="B55" s="1">
        <v>45021</v>
      </c>
      <c r="C55" t="s">
        <v>839</v>
      </c>
      <c r="D55" t="s">
        <v>17</v>
      </c>
      <c r="E55" t="s">
        <v>32</v>
      </c>
      <c r="F55">
        <v>5</v>
      </c>
      <c r="G55">
        <v>1033</v>
      </c>
      <c r="H55">
        <v>5165</v>
      </c>
    </row>
    <row r="56" spans="1:8" x14ac:dyDescent="0.25">
      <c r="A56" t="s">
        <v>1377</v>
      </c>
      <c r="B56" s="1">
        <v>45560</v>
      </c>
      <c r="C56" t="s">
        <v>618</v>
      </c>
      <c r="D56" t="s">
        <v>27</v>
      </c>
      <c r="E56" t="s">
        <v>25</v>
      </c>
      <c r="F56">
        <v>5</v>
      </c>
      <c r="G56">
        <v>1031</v>
      </c>
      <c r="H56">
        <v>5155</v>
      </c>
    </row>
    <row r="57" spans="1:8" x14ac:dyDescent="0.25">
      <c r="A57" t="s">
        <v>126</v>
      </c>
      <c r="B57" s="1">
        <v>45614</v>
      </c>
      <c r="C57" t="s">
        <v>29</v>
      </c>
      <c r="D57" t="s">
        <v>17</v>
      </c>
      <c r="E57" t="s">
        <v>11</v>
      </c>
      <c r="F57">
        <v>5</v>
      </c>
      <c r="G57">
        <v>1030</v>
      </c>
      <c r="H57">
        <v>5150</v>
      </c>
    </row>
    <row r="58" spans="1:8" x14ac:dyDescent="0.25">
      <c r="A58" t="s">
        <v>1554</v>
      </c>
      <c r="B58" s="1">
        <v>45009</v>
      </c>
      <c r="C58" t="s">
        <v>348</v>
      </c>
      <c r="D58" t="s">
        <v>17</v>
      </c>
      <c r="E58" t="s">
        <v>35</v>
      </c>
      <c r="F58">
        <v>5</v>
      </c>
      <c r="G58">
        <v>1030</v>
      </c>
      <c r="H58">
        <v>5150</v>
      </c>
    </row>
    <row r="59" spans="1:8" x14ac:dyDescent="0.25">
      <c r="A59" t="s">
        <v>1490</v>
      </c>
      <c r="B59" s="1">
        <v>45555</v>
      </c>
      <c r="C59" t="s">
        <v>737</v>
      </c>
      <c r="D59" t="s">
        <v>10</v>
      </c>
      <c r="E59" t="s">
        <v>14</v>
      </c>
      <c r="F59">
        <v>5</v>
      </c>
      <c r="G59">
        <v>1029</v>
      </c>
      <c r="H59">
        <v>5145</v>
      </c>
    </row>
    <row r="60" spans="1:8" x14ac:dyDescent="0.25">
      <c r="A60" t="s">
        <v>922</v>
      </c>
      <c r="B60" s="1">
        <v>45242</v>
      </c>
      <c r="C60" t="s">
        <v>37</v>
      </c>
      <c r="D60" t="s">
        <v>17</v>
      </c>
      <c r="E60" t="s">
        <v>11</v>
      </c>
      <c r="F60">
        <v>5</v>
      </c>
      <c r="G60">
        <v>1028</v>
      </c>
      <c r="H60">
        <v>5140</v>
      </c>
    </row>
    <row r="61" spans="1:8" x14ac:dyDescent="0.25">
      <c r="A61" t="s">
        <v>968</v>
      </c>
      <c r="B61" s="1">
        <v>45515</v>
      </c>
      <c r="C61" t="s">
        <v>201</v>
      </c>
      <c r="D61" t="s">
        <v>27</v>
      </c>
      <c r="E61" t="s">
        <v>14</v>
      </c>
      <c r="F61">
        <v>5</v>
      </c>
      <c r="G61">
        <v>1025</v>
      </c>
      <c r="H61">
        <v>5125</v>
      </c>
    </row>
    <row r="62" spans="1:8" x14ac:dyDescent="0.25">
      <c r="A62" t="s">
        <v>1508</v>
      </c>
      <c r="B62" s="1">
        <v>45573</v>
      </c>
      <c r="C62" t="s">
        <v>163</v>
      </c>
      <c r="D62" t="s">
        <v>10</v>
      </c>
      <c r="E62" t="s">
        <v>35</v>
      </c>
      <c r="F62">
        <v>5</v>
      </c>
      <c r="G62">
        <v>1022</v>
      </c>
      <c r="H62">
        <v>5110</v>
      </c>
    </row>
    <row r="63" spans="1:8" x14ac:dyDescent="0.25">
      <c r="A63" t="s">
        <v>1687</v>
      </c>
      <c r="B63" s="1">
        <v>45323</v>
      </c>
      <c r="C63" t="s">
        <v>1688</v>
      </c>
      <c r="D63" t="s">
        <v>10</v>
      </c>
      <c r="E63" t="s">
        <v>32</v>
      </c>
      <c r="F63">
        <v>5</v>
      </c>
      <c r="G63">
        <v>1012</v>
      </c>
      <c r="H63">
        <v>5060</v>
      </c>
    </row>
    <row r="64" spans="1:8" x14ac:dyDescent="0.25">
      <c r="A64" t="s">
        <v>1071</v>
      </c>
      <c r="B64" s="1">
        <v>45285</v>
      </c>
      <c r="C64" t="s">
        <v>420</v>
      </c>
      <c r="D64" t="s">
        <v>17</v>
      </c>
      <c r="E64" t="s">
        <v>11</v>
      </c>
      <c r="F64">
        <v>5</v>
      </c>
      <c r="G64">
        <v>1011</v>
      </c>
      <c r="H64">
        <v>5055</v>
      </c>
    </row>
    <row r="65" spans="1:8" x14ac:dyDescent="0.25">
      <c r="A65" t="s">
        <v>985</v>
      </c>
      <c r="B65" s="1">
        <v>45227</v>
      </c>
      <c r="C65" t="s">
        <v>839</v>
      </c>
      <c r="D65" t="s">
        <v>10</v>
      </c>
      <c r="E65" t="s">
        <v>14</v>
      </c>
      <c r="F65">
        <v>5</v>
      </c>
      <c r="G65">
        <v>1006</v>
      </c>
      <c r="H65">
        <v>5030</v>
      </c>
    </row>
    <row r="66" spans="1:8" x14ac:dyDescent="0.25">
      <c r="A66" t="s">
        <v>793</v>
      </c>
      <c r="B66" s="1">
        <v>45240</v>
      </c>
      <c r="C66" t="s">
        <v>358</v>
      </c>
      <c r="D66" t="s">
        <v>20</v>
      </c>
      <c r="E66" t="s">
        <v>35</v>
      </c>
      <c r="F66">
        <v>5</v>
      </c>
      <c r="G66">
        <v>1002</v>
      </c>
      <c r="H66">
        <v>5010</v>
      </c>
    </row>
    <row r="67" spans="1:8" x14ac:dyDescent="0.25">
      <c r="A67" t="s">
        <v>1623</v>
      </c>
      <c r="B67" s="1">
        <v>45225</v>
      </c>
      <c r="C67" t="s">
        <v>302</v>
      </c>
      <c r="D67" t="s">
        <v>10</v>
      </c>
      <c r="E67" t="s">
        <v>25</v>
      </c>
      <c r="F67">
        <v>5</v>
      </c>
      <c r="G67">
        <v>1001</v>
      </c>
      <c r="H67">
        <v>5005</v>
      </c>
    </row>
    <row r="68" spans="1:8" x14ac:dyDescent="0.25">
      <c r="A68" t="s">
        <v>110</v>
      </c>
      <c r="B68" s="1">
        <v>44962</v>
      </c>
      <c r="C68" t="s">
        <v>111</v>
      </c>
      <c r="D68" t="s">
        <v>20</v>
      </c>
      <c r="E68" t="s">
        <v>14</v>
      </c>
      <c r="F68">
        <v>5</v>
      </c>
      <c r="G68">
        <v>999</v>
      </c>
      <c r="H68">
        <v>4995</v>
      </c>
    </row>
    <row r="69" spans="1:8" x14ac:dyDescent="0.25">
      <c r="A69" t="s">
        <v>765</v>
      </c>
      <c r="B69" s="1">
        <v>45078</v>
      </c>
      <c r="C69" t="s">
        <v>766</v>
      </c>
      <c r="D69" t="s">
        <v>20</v>
      </c>
      <c r="E69" t="s">
        <v>25</v>
      </c>
      <c r="F69">
        <v>5</v>
      </c>
      <c r="G69">
        <v>988</v>
      </c>
      <c r="H69">
        <v>4940</v>
      </c>
    </row>
    <row r="70" spans="1:8" x14ac:dyDescent="0.25">
      <c r="A70" t="s">
        <v>1592</v>
      </c>
      <c r="B70" s="1">
        <v>45124</v>
      </c>
      <c r="C70" t="s">
        <v>104</v>
      </c>
      <c r="D70" t="s">
        <v>17</v>
      </c>
      <c r="E70" t="s">
        <v>14</v>
      </c>
      <c r="F70">
        <v>5</v>
      </c>
      <c r="G70">
        <v>983</v>
      </c>
      <c r="H70">
        <v>4915</v>
      </c>
    </row>
    <row r="71" spans="1:8" x14ac:dyDescent="0.25">
      <c r="A71" t="s">
        <v>788</v>
      </c>
      <c r="B71" s="1">
        <v>45373</v>
      </c>
      <c r="C71" t="s">
        <v>527</v>
      </c>
      <c r="D71" t="s">
        <v>27</v>
      </c>
      <c r="E71" t="s">
        <v>32</v>
      </c>
      <c r="F71">
        <v>5</v>
      </c>
      <c r="G71">
        <v>978</v>
      </c>
      <c r="H71">
        <v>4890</v>
      </c>
    </row>
    <row r="72" spans="1:8" x14ac:dyDescent="0.25">
      <c r="A72" t="s">
        <v>48</v>
      </c>
      <c r="B72" s="1">
        <v>45478</v>
      </c>
      <c r="C72" t="s">
        <v>49</v>
      </c>
      <c r="D72" t="s">
        <v>10</v>
      </c>
      <c r="E72" t="s">
        <v>25</v>
      </c>
      <c r="F72">
        <v>5</v>
      </c>
      <c r="G72">
        <v>974</v>
      </c>
      <c r="H72">
        <v>4870</v>
      </c>
    </row>
    <row r="73" spans="1:8" x14ac:dyDescent="0.25">
      <c r="A73" t="s">
        <v>1080</v>
      </c>
      <c r="B73" s="1">
        <v>45332</v>
      </c>
      <c r="C73" t="s">
        <v>927</v>
      </c>
      <c r="D73" t="s">
        <v>10</v>
      </c>
      <c r="E73" t="s">
        <v>32</v>
      </c>
      <c r="F73">
        <v>5</v>
      </c>
      <c r="G73">
        <v>972</v>
      </c>
      <c r="H73">
        <v>4860</v>
      </c>
    </row>
    <row r="74" spans="1:8" x14ac:dyDescent="0.25">
      <c r="A74" t="s">
        <v>1387</v>
      </c>
      <c r="B74" s="1">
        <v>45503</v>
      </c>
      <c r="C74" t="s">
        <v>282</v>
      </c>
      <c r="D74" t="s">
        <v>27</v>
      </c>
      <c r="E74" t="s">
        <v>14</v>
      </c>
      <c r="F74">
        <v>5</v>
      </c>
      <c r="G74">
        <v>966</v>
      </c>
      <c r="H74">
        <v>4830</v>
      </c>
    </row>
    <row r="75" spans="1:8" x14ac:dyDescent="0.25">
      <c r="A75" t="s">
        <v>902</v>
      </c>
      <c r="B75" s="1">
        <v>45031</v>
      </c>
      <c r="C75" t="s">
        <v>504</v>
      </c>
      <c r="D75" t="s">
        <v>17</v>
      </c>
      <c r="E75" t="s">
        <v>14</v>
      </c>
      <c r="F75">
        <v>5</v>
      </c>
      <c r="G75">
        <v>965</v>
      </c>
      <c r="H75">
        <v>4825</v>
      </c>
    </row>
    <row r="76" spans="1:8" x14ac:dyDescent="0.25">
      <c r="A76" t="s">
        <v>342</v>
      </c>
      <c r="B76" s="1">
        <v>45358</v>
      </c>
      <c r="C76" t="s">
        <v>343</v>
      </c>
      <c r="D76" t="s">
        <v>27</v>
      </c>
      <c r="E76" t="s">
        <v>11</v>
      </c>
      <c r="F76">
        <v>5</v>
      </c>
      <c r="G76">
        <v>963</v>
      </c>
      <c r="H76">
        <v>4815</v>
      </c>
    </row>
    <row r="77" spans="1:8" x14ac:dyDescent="0.25">
      <c r="A77" t="s">
        <v>831</v>
      </c>
      <c r="B77" s="1">
        <v>45219</v>
      </c>
      <c r="C77" t="s">
        <v>136</v>
      </c>
      <c r="D77" t="s">
        <v>20</v>
      </c>
      <c r="E77" t="s">
        <v>32</v>
      </c>
      <c r="F77">
        <v>4</v>
      </c>
      <c r="G77">
        <v>1195</v>
      </c>
      <c r="H77">
        <v>4780</v>
      </c>
    </row>
    <row r="78" spans="1:8" x14ac:dyDescent="0.25">
      <c r="A78" t="s">
        <v>1474</v>
      </c>
      <c r="B78" s="1">
        <v>45596</v>
      </c>
      <c r="C78" t="s">
        <v>1144</v>
      </c>
      <c r="D78" t="s">
        <v>17</v>
      </c>
      <c r="E78" t="s">
        <v>32</v>
      </c>
      <c r="F78">
        <v>4</v>
      </c>
      <c r="G78">
        <v>1194</v>
      </c>
      <c r="H78">
        <v>4776</v>
      </c>
    </row>
    <row r="79" spans="1:8" x14ac:dyDescent="0.25">
      <c r="A79" t="s">
        <v>74</v>
      </c>
      <c r="B79" s="1">
        <v>45404</v>
      </c>
      <c r="C79" t="s">
        <v>73</v>
      </c>
      <c r="D79" t="s">
        <v>10</v>
      </c>
      <c r="E79" t="s">
        <v>32</v>
      </c>
      <c r="F79">
        <v>4</v>
      </c>
      <c r="G79">
        <v>1193</v>
      </c>
      <c r="H79">
        <v>4772</v>
      </c>
    </row>
    <row r="80" spans="1:8" x14ac:dyDescent="0.25">
      <c r="A80" t="s">
        <v>1691</v>
      </c>
      <c r="B80" s="1">
        <v>45093</v>
      </c>
      <c r="C80" t="s">
        <v>398</v>
      </c>
      <c r="D80" t="s">
        <v>27</v>
      </c>
      <c r="E80" t="s">
        <v>14</v>
      </c>
      <c r="F80">
        <v>4</v>
      </c>
      <c r="G80">
        <v>1190</v>
      </c>
      <c r="H80">
        <v>4760</v>
      </c>
    </row>
    <row r="81" spans="1:8" x14ac:dyDescent="0.25">
      <c r="A81" t="s">
        <v>1102</v>
      </c>
      <c r="B81" s="1">
        <v>45108</v>
      </c>
      <c r="C81" t="s">
        <v>553</v>
      </c>
      <c r="D81" t="s">
        <v>20</v>
      </c>
      <c r="E81" t="s">
        <v>11</v>
      </c>
      <c r="F81">
        <v>5</v>
      </c>
      <c r="G81">
        <v>947</v>
      </c>
      <c r="H81">
        <v>4735</v>
      </c>
    </row>
    <row r="82" spans="1:8" x14ac:dyDescent="0.25">
      <c r="A82" t="s">
        <v>105</v>
      </c>
      <c r="B82" s="1">
        <v>45146</v>
      </c>
      <c r="C82" t="s">
        <v>106</v>
      </c>
      <c r="D82" t="s">
        <v>10</v>
      </c>
      <c r="E82" t="s">
        <v>35</v>
      </c>
      <c r="F82">
        <v>5</v>
      </c>
      <c r="G82">
        <v>941</v>
      </c>
      <c r="H82">
        <v>4705</v>
      </c>
    </row>
    <row r="83" spans="1:8" x14ac:dyDescent="0.25">
      <c r="A83" t="s">
        <v>1465</v>
      </c>
      <c r="B83" s="1">
        <v>44945</v>
      </c>
      <c r="C83" t="s">
        <v>642</v>
      </c>
      <c r="D83" t="s">
        <v>27</v>
      </c>
      <c r="E83" t="s">
        <v>25</v>
      </c>
      <c r="F83">
        <v>4</v>
      </c>
      <c r="G83">
        <v>1176</v>
      </c>
      <c r="H83">
        <v>4704</v>
      </c>
    </row>
    <row r="84" spans="1:8" x14ac:dyDescent="0.25">
      <c r="A84" t="s">
        <v>1586</v>
      </c>
      <c r="B84" s="1">
        <v>45595</v>
      </c>
      <c r="C84" t="s">
        <v>927</v>
      </c>
      <c r="D84" t="s">
        <v>20</v>
      </c>
      <c r="E84" t="s">
        <v>25</v>
      </c>
      <c r="F84">
        <v>4</v>
      </c>
      <c r="G84">
        <v>1172</v>
      </c>
      <c r="H84">
        <v>4688</v>
      </c>
    </row>
    <row r="85" spans="1:8" x14ac:dyDescent="0.25">
      <c r="A85" t="s">
        <v>405</v>
      </c>
      <c r="B85" s="1">
        <v>45276</v>
      </c>
      <c r="C85" t="s">
        <v>406</v>
      </c>
      <c r="D85" t="s">
        <v>20</v>
      </c>
      <c r="E85" t="s">
        <v>11</v>
      </c>
      <c r="F85">
        <v>5</v>
      </c>
      <c r="G85">
        <v>937</v>
      </c>
      <c r="H85">
        <v>4685</v>
      </c>
    </row>
    <row r="86" spans="1:8" x14ac:dyDescent="0.25">
      <c r="A86" t="s">
        <v>1530</v>
      </c>
      <c r="B86" s="1">
        <v>45448</v>
      </c>
      <c r="C86" t="s">
        <v>16</v>
      </c>
      <c r="D86" t="s">
        <v>17</v>
      </c>
      <c r="E86" t="s">
        <v>14</v>
      </c>
      <c r="F86">
        <v>4</v>
      </c>
      <c r="G86">
        <v>1168</v>
      </c>
      <c r="H86">
        <v>4672</v>
      </c>
    </row>
    <row r="87" spans="1:8" x14ac:dyDescent="0.25">
      <c r="A87" t="s">
        <v>1390</v>
      </c>
      <c r="B87" s="1">
        <v>45265</v>
      </c>
      <c r="C87" t="s">
        <v>364</v>
      </c>
      <c r="D87" t="s">
        <v>27</v>
      </c>
      <c r="E87" t="s">
        <v>14</v>
      </c>
      <c r="F87">
        <v>4</v>
      </c>
      <c r="G87">
        <v>1166</v>
      </c>
      <c r="H87">
        <v>4664</v>
      </c>
    </row>
    <row r="88" spans="1:8" x14ac:dyDescent="0.25">
      <c r="A88" t="s">
        <v>1550</v>
      </c>
      <c r="B88" s="1">
        <v>44991</v>
      </c>
      <c r="C88" t="s">
        <v>824</v>
      </c>
      <c r="D88" t="s">
        <v>17</v>
      </c>
      <c r="E88" t="s">
        <v>14</v>
      </c>
      <c r="F88">
        <v>5</v>
      </c>
      <c r="G88">
        <v>932</v>
      </c>
      <c r="H88">
        <v>4660</v>
      </c>
    </row>
    <row r="89" spans="1:8" x14ac:dyDescent="0.25">
      <c r="A89" t="s">
        <v>1724</v>
      </c>
      <c r="B89" s="1">
        <v>45174</v>
      </c>
      <c r="C89" t="s">
        <v>177</v>
      </c>
      <c r="D89" t="s">
        <v>17</v>
      </c>
      <c r="E89" t="s">
        <v>35</v>
      </c>
      <c r="F89">
        <v>5</v>
      </c>
      <c r="G89">
        <v>932</v>
      </c>
      <c r="H89">
        <v>4660</v>
      </c>
    </row>
    <row r="90" spans="1:8" x14ac:dyDescent="0.25">
      <c r="A90" t="s">
        <v>835</v>
      </c>
      <c r="B90" s="1">
        <v>45014</v>
      </c>
      <c r="C90" t="s">
        <v>836</v>
      </c>
      <c r="D90" t="s">
        <v>10</v>
      </c>
      <c r="E90" t="s">
        <v>14</v>
      </c>
      <c r="F90">
        <v>4</v>
      </c>
      <c r="G90">
        <v>1154</v>
      </c>
      <c r="H90">
        <v>4616</v>
      </c>
    </row>
    <row r="91" spans="1:8" x14ac:dyDescent="0.25">
      <c r="A91" t="s">
        <v>1026</v>
      </c>
      <c r="B91" s="1">
        <v>44934</v>
      </c>
      <c r="C91" t="s">
        <v>1027</v>
      </c>
      <c r="D91" t="s">
        <v>20</v>
      </c>
      <c r="E91" t="s">
        <v>32</v>
      </c>
      <c r="F91">
        <v>4</v>
      </c>
      <c r="G91">
        <v>1152</v>
      </c>
      <c r="H91">
        <v>4608</v>
      </c>
    </row>
    <row r="92" spans="1:8" x14ac:dyDescent="0.25">
      <c r="A92" t="s">
        <v>1496</v>
      </c>
      <c r="B92" s="1">
        <v>44955</v>
      </c>
      <c r="C92" t="s">
        <v>562</v>
      </c>
      <c r="D92" t="s">
        <v>20</v>
      </c>
      <c r="E92" t="s">
        <v>11</v>
      </c>
      <c r="F92">
        <v>5</v>
      </c>
      <c r="G92">
        <v>921</v>
      </c>
      <c r="H92">
        <v>4605</v>
      </c>
    </row>
    <row r="93" spans="1:8" x14ac:dyDescent="0.25">
      <c r="A93" t="s">
        <v>453</v>
      </c>
      <c r="B93" s="1">
        <v>45223</v>
      </c>
      <c r="C93" t="s">
        <v>454</v>
      </c>
      <c r="D93" t="s">
        <v>27</v>
      </c>
      <c r="E93" t="s">
        <v>11</v>
      </c>
      <c r="F93">
        <v>5</v>
      </c>
      <c r="G93">
        <v>920</v>
      </c>
      <c r="H93">
        <v>4600</v>
      </c>
    </row>
    <row r="94" spans="1:8" x14ac:dyDescent="0.25">
      <c r="A94" t="s">
        <v>741</v>
      </c>
      <c r="B94" s="1">
        <v>45542</v>
      </c>
      <c r="C94" t="s">
        <v>169</v>
      </c>
      <c r="D94" t="s">
        <v>20</v>
      </c>
      <c r="E94" t="s">
        <v>11</v>
      </c>
      <c r="F94">
        <v>4</v>
      </c>
      <c r="G94">
        <v>1149</v>
      </c>
      <c r="H94">
        <v>4596</v>
      </c>
    </row>
    <row r="95" spans="1:8" x14ac:dyDescent="0.25">
      <c r="A95" t="s">
        <v>796</v>
      </c>
      <c r="B95" s="1">
        <v>44933</v>
      </c>
      <c r="C95" t="s">
        <v>125</v>
      </c>
      <c r="D95" t="s">
        <v>20</v>
      </c>
      <c r="E95" t="s">
        <v>25</v>
      </c>
      <c r="F95">
        <v>4</v>
      </c>
      <c r="G95">
        <v>1149</v>
      </c>
      <c r="H95">
        <v>4596</v>
      </c>
    </row>
    <row r="96" spans="1:8" x14ac:dyDescent="0.25">
      <c r="A96" t="s">
        <v>854</v>
      </c>
      <c r="B96" s="1">
        <v>44968</v>
      </c>
      <c r="C96" t="s">
        <v>102</v>
      </c>
      <c r="D96" t="s">
        <v>17</v>
      </c>
      <c r="E96" t="s">
        <v>35</v>
      </c>
      <c r="F96">
        <v>4</v>
      </c>
      <c r="G96">
        <v>1145</v>
      </c>
      <c r="H96">
        <v>4580</v>
      </c>
    </row>
    <row r="97" spans="1:8" x14ac:dyDescent="0.25">
      <c r="A97" t="s">
        <v>1264</v>
      </c>
      <c r="B97" s="1">
        <v>45102</v>
      </c>
      <c r="C97" t="s">
        <v>1265</v>
      </c>
      <c r="D97" t="s">
        <v>20</v>
      </c>
      <c r="E97" t="s">
        <v>14</v>
      </c>
      <c r="F97">
        <v>4</v>
      </c>
      <c r="G97">
        <v>1142</v>
      </c>
      <c r="H97">
        <v>4568</v>
      </c>
    </row>
    <row r="98" spans="1:8" x14ac:dyDescent="0.25">
      <c r="A98" t="s">
        <v>1132</v>
      </c>
      <c r="B98" s="1">
        <v>45310</v>
      </c>
      <c r="C98" t="s">
        <v>119</v>
      </c>
      <c r="D98" t="s">
        <v>17</v>
      </c>
      <c r="E98" t="s">
        <v>14</v>
      </c>
      <c r="F98">
        <v>4</v>
      </c>
      <c r="G98">
        <v>1140</v>
      </c>
      <c r="H98">
        <v>4560</v>
      </c>
    </row>
    <row r="99" spans="1:8" x14ac:dyDescent="0.25">
      <c r="A99" t="s">
        <v>950</v>
      </c>
      <c r="B99" s="1">
        <v>45424</v>
      </c>
      <c r="C99" t="s">
        <v>607</v>
      </c>
      <c r="D99" t="s">
        <v>17</v>
      </c>
      <c r="E99" t="s">
        <v>35</v>
      </c>
      <c r="F99">
        <v>4</v>
      </c>
      <c r="G99">
        <v>1138</v>
      </c>
      <c r="H99">
        <v>4552</v>
      </c>
    </row>
    <row r="100" spans="1:8" x14ac:dyDescent="0.25">
      <c r="A100" t="s">
        <v>1348</v>
      </c>
      <c r="B100" s="1">
        <v>45029</v>
      </c>
      <c r="C100" t="s">
        <v>818</v>
      </c>
      <c r="D100" t="s">
        <v>17</v>
      </c>
      <c r="E100" t="s">
        <v>25</v>
      </c>
      <c r="F100">
        <v>5</v>
      </c>
      <c r="G100">
        <v>909</v>
      </c>
      <c r="H100">
        <v>4545</v>
      </c>
    </row>
    <row r="101" spans="1:8" x14ac:dyDescent="0.25">
      <c r="A101" t="s">
        <v>418</v>
      </c>
      <c r="B101" s="1">
        <v>45077</v>
      </c>
      <c r="C101" t="s">
        <v>343</v>
      </c>
      <c r="D101" t="s">
        <v>10</v>
      </c>
      <c r="E101" t="s">
        <v>14</v>
      </c>
      <c r="F101">
        <v>4</v>
      </c>
      <c r="G101">
        <v>1135</v>
      </c>
      <c r="H101">
        <v>4540</v>
      </c>
    </row>
    <row r="102" spans="1:8" x14ac:dyDescent="0.25">
      <c r="A102" t="s">
        <v>1021</v>
      </c>
      <c r="B102" s="1">
        <v>45366</v>
      </c>
      <c r="C102" t="s">
        <v>766</v>
      </c>
      <c r="D102" t="s">
        <v>20</v>
      </c>
      <c r="E102" t="s">
        <v>32</v>
      </c>
      <c r="F102">
        <v>4</v>
      </c>
      <c r="G102">
        <v>1134</v>
      </c>
      <c r="H102">
        <v>4536</v>
      </c>
    </row>
    <row r="103" spans="1:8" x14ac:dyDescent="0.25">
      <c r="A103" t="s">
        <v>1758</v>
      </c>
      <c r="B103" s="1">
        <v>45340</v>
      </c>
      <c r="C103" t="s">
        <v>459</v>
      </c>
      <c r="D103" t="s">
        <v>17</v>
      </c>
      <c r="E103" t="s">
        <v>32</v>
      </c>
      <c r="F103">
        <v>4</v>
      </c>
      <c r="G103">
        <v>1134</v>
      </c>
      <c r="H103">
        <v>4536</v>
      </c>
    </row>
    <row r="104" spans="1:8" x14ac:dyDescent="0.25">
      <c r="A104" t="s">
        <v>1640</v>
      </c>
      <c r="B104" s="1">
        <v>45594</v>
      </c>
      <c r="C104" t="s">
        <v>29</v>
      </c>
      <c r="D104" t="s">
        <v>17</v>
      </c>
      <c r="E104" t="s">
        <v>35</v>
      </c>
      <c r="F104">
        <v>5</v>
      </c>
      <c r="G104">
        <v>905</v>
      </c>
      <c r="H104">
        <v>4525</v>
      </c>
    </row>
    <row r="105" spans="1:8" x14ac:dyDescent="0.25">
      <c r="A105" t="s">
        <v>297</v>
      </c>
      <c r="B105" s="1">
        <v>45235</v>
      </c>
      <c r="C105" t="s">
        <v>298</v>
      </c>
      <c r="D105" t="s">
        <v>17</v>
      </c>
      <c r="E105" t="s">
        <v>11</v>
      </c>
      <c r="F105">
        <v>4</v>
      </c>
      <c r="G105">
        <v>1127</v>
      </c>
      <c r="H105">
        <v>4508</v>
      </c>
    </row>
    <row r="106" spans="1:8" x14ac:dyDescent="0.25">
      <c r="A106" t="s">
        <v>509</v>
      </c>
      <c r="B106" s="1">
        <v>45074</v>
      </c>
      <c r="C106" t="s">
        <v>78</v>
      </c>
      <c r="D106" t="s">
        <v>17</v>
      </c>
      <c r="E106" t="s">
        <v>14</v>
      </c>
      <c r="F106">
        <v>4</v>
      </c>
      <c r="G106">
        <v>1125</v>
      </c>
      <c r="H106">
        <v>4500</v>
      </c>
    </row>
    <row r="107" spans="1:8" x14ac:dyDescent="0.25">
      <c r="A107" t="s">
        <v>314</v>
      </c>
      <c r="B107" s="1">
        <v>44975</v>
      </c>
      <c r="C107" t="s">
        <v>315</v>
      </c>
      <c r="D107" t="s">
        <v>20</v>
      </c>
      <c r="E107" t="s">
        <v>14</v>
      </c>
      <c r="F107">
        <v>4</v>
      </c>
      <c r="G107">
        <v>1123</v>
      </c>
      <c r="H107">
        <v>4492</v>
      </c>
    </row>
    <row r="108" spans="1:8" x14ac:dyDescent="0.25">
      <c r="A108" t="s">
        <v>1773</v>
      </c>
      <c r="B108" s="1">
        <v>45461</v>
      </c>
      <c r="C108" t="s">
        <v>158</v>
      </c>
      <c r="D108" t="s">
        <v>20</v>
      </c>
      <c r="E108" t="s">
        <v>35</v>
      </c>
      <c r="F108">
        <v>5</v>
      </c>
      <c r="G108">
        <v>895</v>
      </c>
      <c r="H108">
        <v>4475</v>
      </c>
    </row>
    <row r="109" spans="1:8" x14ac:dyDescent="0.25">
      <c r="A109" t="s">
        <v>1520</v>
      </c>
      <c r="B109" s="1">
        <v>44927</v>
      </c>
      <c r="C109" t="s">
        <v>332</v>
      </c>
      <c r="D109" t="s">
        <v>27</v>
      </c>
      <c r="E109" t="s">
        <v>25</v>
      </c>
      <c r="F109">
        <v>5</v>
      </c>
      <c r="G109">
        <v>894</v>
      </c>
      <c r="H109">
        <v>4470</v>
      </c>
    </row>
    <row r="110" spans="1:8" x14ac:dyDescent="0.25">
      <c r="A110" t="s">
        <v>1354</v>
      </c>
      <c r="B110" s="1">
        <v>45358</v>
      </c>
      <c r="C110" t="s">
        <v>583</v>
      </c>
      <c r="D110" t="s">
        <v>27</v>
      </c>
      <c r="E110" t="s">
        <v>11</v>
      </c>
      <c r="F110">
        <v>4</v>
      </c>
      <c r="G110">
        <v>1116</v>
      </c>
      <c r="H110">
        <v>4464</v>
      </c>
    </row>
    <row r="111" spans="1:8" x14ac:dyDescent="0.25">
      <c r="A111" t="s">
        <v>1486</v>
      </c>
      <c r="B111" s="1">
        <v>44932</v>
      </c>
      <c r="C111" t="s">
        <v>169</v>
      </c>
      <c r="D111" t="s">
        <v>10</v>
      </c>
      <c r="E111" t="s">
        <v>35</v>
      </c>
      <c r="F111">
        <v>4</v>
      </c>
      <c r="G111">
        <v>1116</v>
      </c>
      <c r="H111">
        <v>4464</v>
      </c>
    </row>
    <row r="112" spans="1:8" x14ac:dyDescent="0.25">
      <c r="A112" t="s">
        <v>210</v>
      </c>
      <c r="B112" s="1">
        <v>45106</v>
      </c>
      <c r="C112" t="s">
        <v>211</v>
      </c>
      <c r="D112" t="s">
        <v>27</v>
      </c>
      <c r="E112" t="s">
        <v>35</v>
      </c>
      <c r="F112">
        <v>5</v>
      </c>
      <c r="G112">
        <v>892</v>
      </c>
      <c r="H112">
        <v>4460</v>
      </c>
    </row>
    <row r="113" spans="1:8" x14ac:dyDescent="0.25">
      <c r="A113" t="s">
        <v>609</v>
      </c>
      <c r="B113" s="1">
        <v>45429</v>
      </c>
      <c r="C113" t="s">
        <v>125</v>
      </c>
      <c r="D113" t="s">
        <v>20</v>
      </c>
      <c r="E113" t="s">
        <v>32</v>
      </c>
      <c r="F113">
        <v>5</v>
      </c>
      <c r="G113">
        <v>892</v>
      </c>
      <c r="H113">
        <v>4460</v>
      </c>
    </row>
    <row r="114" spans="1:8" x14ac:dyDescent="0.25">
      <c r="A114" t="s">
        <v>650</v>
      </c>
      <c r="B114" s="1">
        <v>45175</v>
      </c>
      <c r="C114" t="s">
        <v>362</v>
      </c>
      <c r="D114" t="s">
        <v>20</v>
      </c>
      <c r="E114" t="s">
        <v>35</v>
      </c>
      <c r="F114">
        <v>4</v>
      </c>
      <c r="G114">
        <v>1106</v>
      </c>
      <c r="H114">
        <v>4424</v>
      </c>
    </row>
    <row r="115" spans="1:8" x14ac:dyDescent="0.25">
      <c r="A115" t="s">
        <v>436</v>
      </c>
      <c r="B115" s="1">
        <v>44963</v>
      </c>
      <c r="C115" t="s">
        <v>437</v>
      </c>
      <c r="D115" t="s">
        <v>20</v>
      </c>
      <c r="E115" t="s">
        <v>32</v>
      </c>
      <c r="F115">
        <v>5</v>
      </c>
      <c r="G115">
        <v>881</v>
      </c>
      <c r="H115">
        <v>4405</v>
      </c>
    </row>
    <row r="116" spans="1:8" x14ac:dyDescent="0.25">
      <c r="A116" t="s">
        <v>1677</v>
      </c>
      <c r="B116" s="1">
        <v>44987</v>
      </c>
      <c r="C116" t="s">
        <v>90</v>
      </c>
      <c r="D116" t="s">
        <v>27</v>
      </c>
      <c r="E116" t="s">
        <v>14</v>
      </c>
      <c r="F116">
        <v>5</v>
      </c>
      <c r="G116">
        <v>880</v>
      </c>
      <c r="H116">
        <v>4400</v>
      </c>
    </row>
    <row r="117" spans="1:8" x14ac:dyDescent="0.25">
      <c r="A117" t="s">
        <v>1721</v>
      </c>
      <c r="B117" s="1">
        <v>45208</v>
      </c>
      <c r="C117" t="s">
        <v>221</v>
      </c>
      <c r="D117" t="s">
        <v>17</v>
      </c>
      <c r="E117" t="s">
        <v>32</v>
      </c>
      <c r="F117">
        <v>5</v>
      </c>
      <c r="G117">
        <v>880</v>
      </c>
      <c r="H117">
        <v>4400</v>
      </c>
    </row>
    <row r="118" spans="1:8" x14ac:dyDescent="0.25">
      <c r="A118" t="s">
        <v>800</v>
      </c>
      <c r="B118" s="1">
        <v>45153</v>
      </c>
      <c r="C118" t="s">
        <v>300</v>
      </c>
      <c r="D118" t="s">
        <v>27</v>
      </c>
      <c r="E118" t="s">
        <v>14</v>
      </c>
      <c r="F118">
        <v>4</v>
      </c>
      <c r="G118">
        <v>1098</v>
      </c>
      <c r="H118">
        <v>4392</v>
      </c>
    </row>
    <row r="119" spans="1:8" x14ac:dyDescent="0.25">
      <c r="A119" t="s">
        <v>1385</v>
      </c>
      <c r="B119" s="1">
        <v>45329</v>
      </c>
      <c r="C119" t="s">
        <v>459</v>
      </c>
      <c r="D119" t="s">
        <v>10</v>
      </c>
      <c r="E119" t="s">
        <v>35</v>
      </c>
      <c r="F119">
        <v>4</v>
      </c>
      <c r="G119">
        <v>1097</v>
      </c>
      <c r="H119">
        <v>4388</v>
      </c>
    </row>
    <row r="120" spans="1:8" x14ac:dyDescent="0.25">
      <c r="A120" t="s">
        <v>1755</v>
      </c>
      <c r="B120" s="1">
        <v>45222</v>
      </c>
      <c r="C120" t="s">
        <v>589</v>
      </c>
      <c r="D120" t="s">
        <v>10</v>
      </c>
      <c r="E120" t="s">
        <v>32</v>
      </c>
      <c r="F120">
        <v>4</v>
      </c>
      <c r="G120">
        <v>1096</v>
      </c>
      <c r="H120">
        <v>4384</v>
      </c>
    </row>
    <row r="121" spans="1:8" x14ac:dyDescent="0.25">
      <c r="A121" t="s">
        <v>1094</v>
      </c>
      <c r="B121" s="1">
        <v>45101</v>
      </c>
      <c r="C121" t="s">
        <v>389</v>
      </c>
      <c r="D121" t="s">
        <v>10</v>
      </c>
      <c r="E121" t="s">
        <v>32</v>
      </c>
      <c r="F121">
        <v>5</v>
      </c>
      <c r="G121">
        <v>875</v>
      </c>
      <c r="H121">
        <v>4375</v>
      </c>
    </row>
    <row r="122" spans="1:8" x14ac:dyDescent="0.25">
      <c r="A122" t="s">
        <v>763</v>
      </c>
      <c r="B122" s="1">
        <v>44949</v>
      </c>
      <c r="C122" t="s">
        <v>764</v>
      </c>
      <c r="D122" t="s">
        <v>27</v>
      </c>
      <c r="E122" t="s">
        <v>11</v>
      </c>
      <c r="F122">
        <v>4</v>
      </c>
      <c r="G122">
        <v>1092</v>
      </c>
      <c r="H122">
        <v>4368</v>
      </c>
    </row>
    <row r="123" spans="1:8" x14ac:dyDescent="0.25">
      <c r="A123" t="s">
        <v>1311</v>
      </c>
      <c r="B123" s="1">
        <v>44972</v>
      </c>
      <c r="C123" t="s">
        <v>1114</v>
      </c>
      <c r="D123" t="s">
        <v>17</v>
      </c>
      <c r="E123" t="s">
        <v>14</v>
      </c>
      <c r="F123">
        <v>4</v>
      </c>
      <c r="G123">
        <v>1089</v>
      </c>
      <c r="H123">
        <v>4356</v>
      </c>
    </row>
    <row r="124" spans="1:8" x14ac:dyDescent="0.25">
      <c r="A124" t="s">
        <v>1467</v>
      </c>
      <c r="B124" s="1">
        <v>45260</v>
      </c>
      <c r="C124" t="s">
        <v>156</v>
      </c>
      <c r="D124" t="s">
        <v>10</v>
      </c>
      <c r="E124" t="s">
        <v>25</v>
      </c>
      <c r="F124">
        <v>5</v>
      </c>
      <c r="G124">
        <v>870</v>
      </c>
      <c r="H124">
        <v>4350</v>
      </c>
    </row>
    <row r="125" spans="1:8" x14ac:dyDescent="0.25">
      <c r="A125" t="s">
        <v>368</v>
      </c>
      <c r="B125" s="1">
        <v>45041</v>
      </c>
      <c r="C125" t="s">
        <v>369</v>
      </c>
      <c r="D125" t="s">
        <v>27</v>
      </c>
      <c r="E125" t="s">
        <v>25</v>
      </c>
      <c r="F125">
        <v>4</v>
      </c>
      <c r="G125">
        <v>1086</v>
      </c>
      <c r="H125">
        <v>4344</v>
      </c>
    </row>
    <row r="126" spans="1:8" x14ac:dyDescent="0.25">
      <c r="A126" t="s">
        <v>775</v>
      </c>
      <c r="B126" s="1">
        <v>45278</v>
      </c>
      <c r="C126" t="s">
        <v>211</v>
      </c>
      <c r="D126" t="s">
        <v>17</v>
      </c>
      <c r="E126" t="s">
        <v>11</v>
      </c>
      <c r="F126">
        <v>5</v>
      </c>
      <c r="G126">
        <v>868</v>
      </c>
      <c r="H126">
        <v>4340</v>
      </c>
    </row>
    <row r="127" spans="1:8" x14ac:dyDescent="0.25">
      <c r="A127" t="s">
        <v>1389</v>
      </c>
      <c r="B127" s="1">
        <v>45381</v>
      </c>
      <c r="C127" t="s">
        <v>286</v>
      </c>
      <c r="D127" t="s">
        <v>20</v>
      </c>
      <c r="E127" t="s">
        <v>32</v>
      </c>
      <c r="F127">
        <v>5</v>
      </c>
      <c r="G127">
        <v>868</v>
      </c>
      <c r="H127">
        <v>4340</v>
      </c>
    </row>
    <row r="128" spans="1:8" x14ac:dyDescent="0.25">
      <c r="A128" t="s">
        <v>383</v>
      </c>
      <c r="B128" s="1">
        <v>45490</v>
      </c>
      <c r="C128" t="s">
        <v>384</v>
      </c>
      <c r="D128" t="s">
        <v>10</v>
      </c>
      <c r="E128" t="s">
        <v>32</v>
      </c>
      <c r="F128">
        <v>5</v>
      </c>
      <c r="G128">
        <v>867</v>
      </c>
      <c r="H128">
        <v>4335</v>
      </c>
    </row>
    <row r="129" spans="1:8" x14ac:dyDescent="0.25">
      <c r="A129" t="s">
        <v>958</v>
      </c>
      <c r="B129" s="1">
        <v>45253</v>
      </c>
      <c r="C129" t="s">
        <v>53</v>
      </c>
      <c r="D129" t="s">
        <v>27</v>
      </c>
      <c r="E129" t="s">
        <v>14</v>
      </c>
      <c r="F129">
        <v>4</v>
      </c>
      <c r="G129">
        <v>1083</v>
      </c>
      <c r="H129">
        <v>4332</v>
      </c>
    </row>
    <row r="130" spans="1:8" x14ac:dyDescent="0.25">
      <c r="A130" t="s">
        <v>1242</v>
      </c>
      <c r="B130" s="1">
        <v>45121</v>
      </c>
      <c r="C130" t="s">
        <v>111</v>
      </c>
      <c r="D130" t="s">
        <v>27</v>
      </c>
      <c r="E130" t="s">
        <v>35</v>
      </c>
      <c r="F130">
        <v>5</v>
      </c>
      <c r="G130">
        <v>866</v>
      </c>
      <c r="H130">
        <v>4330</v>
      </c>
    </row>
    <row r="131" spans="1:8" x14ac:dyDescent="0.25">
      <c r="A131" t="s">
        <v>1256</v>
      </c>
      <c r="B131" s="1">
        <v>45221</v>
      </c>
      <c r="C131" t="s">
        <v>558</v>
      </c>
      <c r="D131" t="s">
        <v>10</v>
      </c>
      <c r="E131" t="s">
        <v>14</v>
      </c>
      <c r="F131">
        <v>4</v>
      </c>
      <c r="G131">
        <v>1082</v>
      </c>
      <c r="H131">
        <v>4328</v>
      </c>
    </row>
    <row r="132" spans="1:8" x14ac:dyDescent="0.25">
      <c r="A132" t="s">
        <v>475</v>
      </c>
      <c r="B132" s="1">
        <v>45509</v>
      </c>
      <c r="C132" t="s">
        <v>197</v>
      </c>
      <c r="D132" t="s">
        <v>10</v>
      </c>
      <c r="E132" t="s">
        <v>11</v>
      </c>
      <c r="F132">
        <v>5</v>
      </c>
      <c r="G132">
        <v>864</v>
      </c>
      <c r="H132">
        <v>4320</v>
      </c>
    </row>
    <row r="133" spans="1:8" x14ac:dyDescent="0.25">
      <c r="A133" t="s">
        <v>89</v>
      </c>
      <c r="B133" s="1">
        <v>45271</v>
      </c>
      <c r="C133" t="s">
        <v>90</v>
      </c>
      <c r="D133" t="s">
        <v>17</v>
      </c>
      <c r="E133" t="s">
        <v>25</v>
      </c>
      <c r="F133">
        <v>5</v>
      </c>
      <c r="G133">
        <v>863</v>
      </c>
      <c r="H133">
        <v>4315</v>
      </c>
    </row>
    <row r="134" spans="1:8" x14ac:dyDescent="0.25">
      <c r="A134" t="s">
        <v>877</v>
      </c>
      <c r="B134" s="1">
        <v>45159</v>
      </c>
      <c r="C134" t="s">
        <v>375</v>
      </c>
      <c r="D134" t="s">
        <v>17</v>
      </c>
      <c r="E134" t="s">
        <v>11</v>
      </c>
      <c r="F134">
        <v>4</v>
      </c>
      <c r="G134">
        <v>1078</v>
      </c>
      <c r="H134">
        <v>4312</v>
      </c>
    </row>
    <row r="135" spans="1:8" x14ac:dyDescent="0.25">
      <c r="A135" t="s">
        <v>151</v>
      </c>
      <c r="B135" s="1">
        <v>45132</v>
      </c>
      <c r="C135" t="s">
        <v>152</v>
      </c>
      <c r="D135" t="s">
        <v>10</v>
      </c>
      <c r="E135" t="s">
        <v>14</v>
      </c>
      <c r="F135">
        <v>5</v>
      </c>
      <c r="G135">
        <v>860</v>
      </c>
      <c r="H135">
        <v>4300</v>
      </c>
    </row>
    <row r="136" spans="1:8" x14ac:dyDescent="0.25">
      <c r="A136" t="s">
        <v>858</v>
      </c>
      <c r="B136" s="1">
        <v>45163</v>
      </c>
      <c r="C136" t="s">
        <v>181</v>
      </c>
      <c r="D136" t="s">
        <v>20</v>
      </c>
      <c r="E136" t="s">
        <v>35</v>
      </c>
      <c r="F136">
        <v>4</v>
      </c>
      <c r="G136">
        <v>1075</v>
      </c>
      <c r="H136">
        <v>4300</v>
      </c>
    </row>
    <row r="137" spans="1:8" x14ac:dyDescent="0.25">
      <c r="A137" t="s">
        <v>1368</v>
      </c>
      <c r="B137" s="1">
        <v>45584</v>
      </c>
      <c r="C137" t="s">
        <v>607</v>
      </c>
      <c r="D137" t="s">
        <v>17</v>
      </c>
      <c r="E137" t="s">
        <v>14</v>
      </c>
      <c r="F137">
        <v>4</v>
      </c>
      <c r="G137">
        <v>1075</v>
      </c>
      <c r="H137">
        <v>4300</v>
      </c>
    </row>
    <row r="138" spans="1:8" x14ac:dyDescent="0.25">
      <c r="A138" t="s">
        <v>759</v>
      </c>
      <c r="B138" s="1">
        <v>45308</v>
      </c>
      <c r="C138" t="s">
        <v>332</v>
      </c>
      <c r="D138" t="s">
        <v>10</v>
      </c>
      <c r="E138" t="s">
        <v>25</v>
      </c>
      <c r="F138">
        <v>5</v>
      </c>
      <c r="G138">
        <v>857</v>
      </c>
      <c r="H138">
        <v>4285</v>
      </c>
    </row>
    <row r="139" spans="1:8" x14ac:dyDescent="0.25">
      <c r="A139" t="s">
        <v>108</v>
      </c>
      <c r="B139" s="1">
        <v>45091</v>
      </c>
      <c r="C139" t="s">
        <v>109</v>
      </c>
      <c r="D139" t="s">
        <v>17</v>
      </c>
      <c r="E139" t="s">
        <v>35</v>
      </c>
      <c r="F139">
        <v>4</v>
      </c>
      <c r="G139">
        <v>1071</v>
      </c>
      <c r="H139">
        <v>4284</v>
      </c>
    </row>
    <row r="140" spans="1:8" x14ac:dyDescent="0.25">
      <c r="A140" t="s">
        <v>557</v>
      </c>
      <c r="B140" s="1">
        <v>45527</v>
      </c>
      <c r="C140" t="s">
        <v>558</v>
      </c>
      <c r="D140" t="s">
        <v>10</v>
      </c>
      <c r="E140" t="s">
        <v>14</v>
      </c>
      <c r="F140">
        <v>4</v>
      </c>
      <c r="G140">
        <v>1070</v>
      </c>
      <c r="H140">
        <v>4280</v>
      </c>
    </row>
    <row r="141" spans="1:8" x14ac:dyDescent="0.25">
      <c r="A141" t="s">
        <v>347</v>
      </c>
      <c r="B141" s="1">
        <v>44930</v>
      </c>
      <c r="C141" t="s">
        <v>348</v>
      </c>
      <c r="D141" t="s">
        <v>17</v>
      </c>
      <c r="E141" t="s">
        <v>32</v>
      </c>
      <c r="F141">
        <v>5</v>
      </c>
      <c r="G141">
        <v>855</v>
      </c>
      <c r="H141">
        <v>4275</v>
      </c>
    </row>
    <row r="142" spans="1:8" x14ac:dyDescent="0.25">
      <c r="A142" t="s">
        <v>168</v>
      </c>
      <c r="B142" s="1">
        <v>45443</v>
      </c>
      <c r="C142" t="s">
        <v>169</v>
      </c>
      <c r="D142" t="s">
        <v>20</v>
      </c>
      <c r="E142" t="s">
        <v>32</v>
      </c>
      <c r="F142">
        <v>4</v>
      </c>
      <c r="G142">
        <v>1065</v>
      </c>
      <c r="H142">
        <v>4260</v>
      </c>
    </row>
    <row r="143" spans="1:8" x14ac:dyDescent="0.25">
      <c r="A143" t="s">
        <v>1488</v>
      </c>
      <c r="B143" s="1">
        <v>45204</v>
      </c>
      <c r="C143" t="s">
        <v>547</v>
      </c>
      <c r="D143" t="s">
        <v>27</v>
      </c>
      <c r="E143" t="s">
        <v>32</v>
      </c>
      <c r="F143">
        <v>5</v>
      </c>
      <c r="G143">
        <v>851</v>
      </c>
      <c r="H143">
        <v>4255</v>
      </c>
    </row>
    <row r="144" spans="1:8" x14ac:dyDescent="0.25">
      <c r="A144" t="s">
        <v>672</v>
      </c>
      <c r="B144" s="1">
        <v>45368</v>
      </c>
      <c r="C144" t="s">
        <v>98</v>
      </c>
      <c r="D144" t="s">
        <v>27</v>
      </c>
      <c r="E144" t="s">
        <v>32</v>
      </c>
      <c r="F144">
        <v>4</v>
      </c>
      <c r="G144">
        <v>1063</v>
      </c>
      <c r="H144">
        <v>4252</v>
      </c>
    </row>
    <row r="145" spans="1:8" x14ac:dyDescent="0.25">
      <c r="A145" t="s">
        <v>1139</v>
      </c>
      <c r="B145" s="1">
        <v>45275</v>
      </c>
      <c r="C145" t="s">
        <v>393</v>
      </c>
      <c r="D145" t="s">
        <v>17</v>
      </c>
      <c r="E145" t="s">
        <v>25</v>
      </c>
      <c r="F145">
        <v>4</v>
      </c>
      <c r="G145">
        <v>1062</v>
      </c>
      <c r="H145">
        <v>4248</v>
      </c>
    </row>
    <row r="146" spans="1:8" x14ac:dyDescent="0.25">
      <c r="A146" t="s">
        <v>1261</v>
      </c>
      <c r="B146" s="1">
        <v>45047</v>
      </c>
      <c r="C146" t="s">
        <v>232</v>
      </c>
      <c r="D146" t="s">
        <v>10</v>
      </c>
      <c r="E146" t="s">
        <v>14</v>
      </c>
      <c r="F146">
        <v>4</v>
      </c>
      <c r="G146">
        <v>1062</v>
      </c>
      <c r="H146">
        <v>4248</v>
      </c>
    </row>
    <row r="147" spans="1:8" x14ac:dyDescent="0.25">
      <c r="A147" t="s">
        <v>1332</v>
      </c>
      <c r="B147" s="1">
        <v>45527</v>
      </c>
      <c r="C147" t="s">
        <v>362</v>
      </c>
      <c r="D147" t="s">
        <v>20</v>
      </c>
      <c r="E147" t="s">
        <v>32</v>
      </c>
      <c r="F147">
        <v>5</v>
      </c>
      <c r="G147">
        <v>845</v>
      </c>
      <c r="H147">
        <v>4225</v>
      </c>
    </row>
    <row r="148" spans="1:8" x14ac:dyDescent="0.25">
      <c r="A148" t="s">
        <v>127</v>
      </c>
      <c r="B148" s="1">
        <v>45139</v>
      </c>
      <c r="C148" t="s">
        <v>128</v>
      </c>
      <c r="D148" t="s">
        <v>20</v>
      </c>
      <c r="E148" t="s">
        <v>35</v>
      </c>
      <c r="F148">
        <v>4</v>
      </c>
      <c r="G148">
        <v>1053</v>
      </c>
      <c r="H148">
        <v>4212</v>
      </c>
    </row>
    <row r="149" spans="1:8" x14ac:dyDescent="0.25">
      <c r="A149" t="s">
        <v>996</v>
      </c>
      <c r="B149" s="1">
        <v>45602</v>
      </c>
      <c r="C149" t="s">
        <v>439</v>
      </c>
      <c r="D149" t="s">
        <v>27</v>
      </c>
      <c r="E149" t="s">
        <v>32</v>
      </c>
      <c r="F149">
        <v>4</v>
      </c>
      <c r="G149">
        <v>1053</v>
      </c>
      <c r="H149">
        <v>4212</v>
      </c>
    </row>
    <row r="150" spans="1:8" x14ac:dyDescent="0.25">
      <c r="A150" t="s">
        <v>344</v>
      </c>
      <c r="B150" s="1">
        <v>44960</v>
      </c>
      <c r="C150" t="s">
        <v>345</v>
      </c>
      <c r="D150" t="s">
        <v>20</v>
      </c>
      <c r="E150" t="s">
        <v>32</v>
      </c>
      <c r="F150">
        <v>4</v>
      </c>
      <c r="G150">
        <v>1052</v>
      </c>
      <c r="H150">
        <v>4208</v>
      </c>
    </row>
    <row r="151" spans="1:8" x14ac:dyDescent="0.25">
      <c r="A151" t="s">
        <v>756</v>
      </c>
      <c r="B151" s="1">
        <v>45368</v>
      </c>
      <c r="C151" t="s">
        <v>121</v>
      </c>
      <c r="D151" t="s">
        <v>20</v>
      </c>
      <c r="E151" t="s">
        <v>25</v>
      </c>
      <c r="F151">
        <v>4</v>
      </c>
      <c r="G151">
        <v>1049</v>
      </c>
      <c r="H151">
        <v>4196</v>
      </c>
    </row>
    <row r="152" spans="1:8" x14ac:dyDescent="0.25">
      <c r="A152" t="s">
        <v>783</v>
      </c>
      <c r="B152" s="1">
        <v>45070</v>
      </c>
      <c r="C152" t="s">
        <v>322</v>
      </c>
      <c r="D152" t="s">
        <v>20</v>
      </c>
      <c r="E152" t="s">
        <v>25</v>
      </c>
      <c r="F152">
        <v>4</v>
      </c>
      <c r="G152">
        <v>1047</v>
      </c>
      <c r="H152">
        <v>4188</v>
      </c>
    </row>
    <row r="153" spans="1:8" x14ac:dyDescent="0.25">
      <c r="A153" t="s">
        <v>450</v>
      </c>
      <c r="B153" s="1">
        <v>45216</v>
      </c>
      <c r="C153" t="s">
        <v>252</v>
      </c>
      <c r="D153" t="s">
        <v>27</v>
      </c>
      <c r="E153" t="s">
        <v>11</v>
      </c>
      <c r="F153">
        <v>5</v>
      </c>
      <c r="G153">
        <v>837</v>
      </c>
      <c r="H153">
        <v>4185</v>
      </c>
    </row>
    <row r="154" spans="1:8" x14ac:dyDescent="0.25">
      <c r="A154" t="s">
        <v>581</v>
      </c>
      <c r="B154" s="1">
        <v>45054</v>
      </c>
      <c r="C154" t="s">
        <v>65</v>
      </c>
      <c r="D154" t="s">
        <v>17</v>
      </c>
      <c r="E154" t="s">
        <v>35</v>
      </c>
      <c r="F154">
        <v>5</v>
      </c>
      <c r="G154">
        <v>834</v>
      </c>
      <c r="H154">
        <v>4170</v>
      </c>
    </row>
    <row r="155" spans="1:8" x14ac:dyDescent="0.25">
      <c r="A155" t="s">
        <v>959</v>
      </c>
      <c r="B155" s="1">
        <v>44995</v>
      </c>
      <c r="C155" t="s">
        <v>51</v>
      </c>
      <c r="D155" t="s">
        <v>27</v>
      </c>
      <c r="E155" t="s">
        <v>32</v>
      </c>
      <c r="F155">
        <v>5</v>
      </c>
      <c r="G155">
        <v>833</v>
      </c>
      <c r="H155">
        <v>4165</v>
      </c>
    </row>
    <row r="156" spans="1:8" x14ac:dyDescent="0.25">
      <c r="A156" t="s">
        <v>1095</v>
      </c>
      <c r="B156" s="1">
        <v>45360</v>
      </c>
      <c r="C156" t="s">
        <v>1096</v>
      </c>
      <c r="D156" t="s">
        <v>27</v>
      </c>
      <c r="E156" t="s">
        <v>35</v>
      </c>
      <c r="F156">
        <v>5</v>
      </c>
      <c r="G156">
        <v>832</v>
      </c>
      <c r="H156">
        <v>4160</v>
      </c>
    </row>
    <row r="157" spans="1:8" x14ac:dyDescent="0.25">
      <c r="A157" t="s">
        <v>1504</v>
      </c>
      <c r="B157" s="1">
        <v>45090</v>
      </c>
      <c r="C157" t="s">
        <v>553</v>
      </c>
      <c r="D157" t="s">
        <v>20</v>
      </c>
      <c r="E157" t="s">
        <v>32</v>
      </c>
      <c r="F157">
        <v>4</v>
      </c>
      <c r="G157">
        <v>1038</v>
      </c>
      <c r="H157">
        <v>4152</v>
      </c>
    </row>
    <row r="158" spans="1:8" x14ac:dyDescent="0.25">
      <c r="A158" t="s">
        <v>774</v>
      </c>
      <c r="B158" s="1">
        <v>45575</v>
      </c>
      <c r="C158" t="s">
        <v>468</v>
      </c>
      <c r="D158" t="s">
        <v>27</v>
      </c>
      <c r="E158" t="s">
        <v>25</v>
      </c>
      <c r="F158">
        <v>5</v>
      </c>
      <c r="G158">
        <v>829</v>
      </c>
      <c r="H158">
        <v>4145</v>
      </c>
    </row>
    <row r="159" spans="1:8" x14ac:dyDescent="0.25">
      <c r="A159" t="s">
        <v>271</v>
      </c>
      <c r="B159" s="1">
        <v>45276</v>
      </c>
      <c r="C159" t="s">
        <v>272</v>
      </c>
      <c r="D159" t="s">
        <v>20</v>
      </c>
      <c r="E159" t="s">
        <v>25</v>
      </c>
      <c r="F159">
        <v>5</v>
      </c>
      <c r="G159">
        <v>825</v>
      </c>
      <c r="H159">
        <v>4125</v>
      </c>
    </row>
    <row r="160" spans="1:8" x14ac:dyDescent="0.25">
      <c r="A160" t="s">
        <v>806</v>
      </c>
      <c r="B160" s="1">
        <v>45563</v>
      </c>
      <c r="C160" t="s">
        <v>348</v>
      </c>
      <c r="D160" t="s">
        <v>27</v>
      </c>
      <c r="E160" t="s">
        <v>35</v>
      </c>
      <c r="F160">
        <v>4</v>
      </c>
      <c r="G160">
        <v>1031</v>
      </c>
      <c r="H160">
        <v>4124</v>
      </c>
    </row>
    <row r="161" spans="1:8" x14ac:dyDescent="0.25">
      <c r="A161" t="s">
        <v>1779</v>
      </c>
      <c r="B161" s="1">
        <v>45490</v>
      </c>
      <c r="C161" t="s">
        <v>499</v>
      </c>
      <c r="D161" t="s">
        <v>20</v>
      </c>
      <c r="E161" t="s">
        <v>14</v>
      </c>
      <c r="F161">
        <v>4</v>
      </c>
      <c r="G161">
        <v>1031</v>
      </c>
      <c r="H161">
        <v>4124</v>
      </c>
    </row>
    <row r="162" spans="1:8" x14ac:dyDescent="0.25">
      <c r="A162" t="s">
        <v>1263</v>
      </c>
      <c r="B162" s="1">
        <v>45575</v>
      </c>
      <c r="C162" t="s">
        <v>24</v>
      </c>
      <c r="D162" t="s">
        <v>10</v>
      </c>
      <c r="E162" t="s">
        <v>32</v>
      </c>
      <c r="F162">
        <v>5</v>
      </c>
      <c r="G162">
        <v>822</v>
      </c>
      <c r="H162">
        <v>4110</v>
      </c>
    </row>
    <row r="163" spans="1:8" x14ac:dyDescent="0.25">
      <c r="A163" t="s">
        <v>141</v>
      </c>
      <c r="B163" s="1">
        <v>44999</v>
      </c>
      <c r="C163" t="s">
        <v>142</v>
      </c>
      <c r="D163" t="s">
        <v>17</v>
      </c>
      <c r="E163" t="s">
        <v>11</v>
      </c>
      <c r="F163">
        <v>5</v>
      </c>
      <c r="G163">
        <v>817</v>
      </c>
      <c r="H163">
        <v>4085</v>
      </c>
    </row>
    <row r="164" spans="1:8" x14ac:dyDescent="0.25">
      <c r="A164" t="s">
        <v>1616</v>
      </c>
      <c r="B164" s="1">
        <v>45115</v>
      </c>
      <c r="C164" t="s">
        <v>824</v>
      </c>
      <c r="D164" t="s">
        <v>17</v>
      </c>
      <c r="E164" t="s">
        <v>32</v>
      </c>
      <c r="F164">
        <v>4</v>
      </c>
      <c r="G164">
        <v>1021</v>
      </c>
      <c r="H164">
        <v>4084</v>
      </c>
    </row>
    <row r="165" spans="1:8" x14ac:dyDescent="0.25">
      <c r="A165" t="s">
        <v>863</v>
      </c>
      <c r="B165" s="1">
        <v>45229</v>
      </c>
      <c r="C165" t="s">
        <v>864</v>
      </c>
      <c r="D165" t="s">
        <v>10</v>
      </c>
      <c r="E165" t="s">
        <v>25</v>
      </c>
      <c r="F165">
        <v>5</v>
      </c>
      <c r="G165">
        <v>813</v>
      </c>
      <c r="H165">
        <v>4065</v>
      </c>
    </row>
    <row r="166" spans="1:8" x14ac:dyDescent="0.25">
      <c r="A166" t="s">
        <v>1205</v>
      </c>
      <c r="B166" s="1">
        <v>45014</v>
      </c>
      <c r="C166" t="s">
        <v>71</v>
      </c>
      <c r="D166" t="s">
        <v>20</v>
      </c>
      <c r="E166" t="s">
        <v>32</v>
      </c>
      <c r="F166">
        <v>4</v>
      </c>
      <c r="G166">
        <v>1012</v>
      </c>
      <c r="H166">
        <v>4048</v>
      </c>
    </row>
    <row r="167" spans="1:8" x14ac:dyDescent="0.25">
      <c r="A167" t="s">
        <v>1220</v>
      </c>
      <c r="B167" s="1">
        <v>45040</v>
      </c>
      <c r="C167" t="s">
        <v>302</v>
      </c>
      <c r="D167" t="s">
        <v>27</v>
      </c>
      <c r="E167" t="s">
        <v>25</v>
      </c>
      <c r="F167">
        <v>5</v>
      </c>
      <c r="G167">
        <v>807</v>
      </c>
      <c r="H167">
        <v>4035</v>
      </c>
    </row>
    <row r="168" spans="1:8" x14ac:dyDescent="0.25">
      <c r="A168" t="s">
        <v>1698</v>
      </c>
      <c r="B168" s="1">
        <v>45457</v>
      </c>
      <c r="C168" t="s">
        <v>266</v>
      </c>
      <c r="D168" t="s">
        <v>27</v>
      </c>
      <c r="E168" t="s">
        <v>11</v>
      </c>
      <c r="F168">
        <v>4</v>
      </c>
      <c r="G168">
        <v>1007</v>
      </c>
      <c r="H168">
        <v>4028</v>
      </c>
    </row>
    <row r="169" spans="1:8" x14ac:dyDescent="0.25">
      <c r="A169" t="s">
        <v>1081</v>
      </c>
      <c r="B169" s="1">
        <v>45503</v>
      </c>
      <c r="C169" t="s">
        <v>761</v>
      </c>
      <c r="D169" t="s">
        <v>27</v>
      </c>
      <c r="E169" t="s">
        <v>35</v>
      </c>
      <c r="F169">
        <v>5</v>
      </c>
      <c r="G169">
        <v>805</v>
      </c>
      <c r="H169">
        <v>4025</v>
      </c>
    </row>
    <row r="170" spans="1:8" x14ac:dyDescent="0.25">
      <c r="A170" t="s">
        <v>1312</v>
      </c>
      <c r="B170" s="1">
        <v>45321</v>
      </c>
      <c r="C170" t="s">
        <v>209</v>
      </c>
      <c r="D170" t="s">
        <v>27</v>
      </c>
      <c r="E170" t="s">
        <v>25</v>
      </c>
      <c r="F170">
        <v>4</v>
      </c>
      <c r="G170">
        <v>1005</v>
      </c>
      <c r="H170">
        <v>4020</v>
      </c>
    </row>
    <row r="171" spans="1:8" x14ac:dyDescent="0.25">
      <c r="A171" t="s">
        <v>1608</v>
      </c>
      <c r="B171" s="1">
        <v>45534</v>
      </c>
      <c r="C171" t="s">
        <v>551</v>
      </c>
      <c r="D171" t="s">
        <v>27</v>
      </c>
      <c r="E171" t="s">
        <v>25</v>
      </c>
      <c r="F171">
        <v>5</v>
      </c>
      <c r="G171">
        <v>803</v>
      </c>
      <c r="H171">
        <v>4015</v>
      </c>
    </row>
    <row r="172" spans="1:8" x14ac:dyDescent="0.25">
      <c r="A172" t="s">
        <v>962</v>
      </c>
      <c r="B172" s="1">
        <v>45506</v>
      </c>
      <c r="C172" t="s">
        <v>444</v>
      </c>
      <c r="D172" t="s">
        <v>10</v>
      </c>
      <c r="E172" t="s">
        <v>11</v>
      </c>
      <c r="F172">
        <v>4</v>
      </c>
      <c r="G172">
        <v>996</v>
      </c>
      <c r="H172">
        <v>3984</v>
      </c>
    </row>
    <row r="173" spans="1:8" x14ac:dyDescent="0.25">
      <c r="A173" t="s">
        <v>1235</v>
      </c>
      <c r="B173" s="1">
        <v>45446</v>
      </c>
      <c r="C173" t="s">
        <v>298</v>
      </c>
      <c r="D173" t="s">
        <v>27</v>
      </c>
      <c r="E173" t="s">
        <v>35</v>
      </c>
      <c r="F173">
        <v>4</v>
      </c>
      <c r="G173">
        <v>994</v>
      </c>
      <c r="H173">
        <v>3976</v>
      </c>
    </row>
    <row r="174" spans="1:8" x14ac:dyDescent="0.25">
      <c r="A174" t="s">
        <v>1297</v>
      </c>
      <c r="B174" s="1">
        <v>45090</v>
      </c>
      <c r="C174" t="s">
        <v>216</v>
      </c>
      <c r="D174" t="s">
        <v>27</v>
      </c>
      <c r="E174" t="s">
        <v>14</v>
      </c>
      <c r="F174">
        <v>5</v>
      </c>
      <c r="G174">
        <v>794</v>
      </c>
      <c r="H174">
        <v>3970</v>
      </c>
    </row>
    <row r="175" spans="1:8" x14ac:dyDescent="0.25">
      <c r="A175" t="s">
        <v>1216</v>
      </c>
      <c r="B175" s="1">
        <v>45349</v>
      </c>
      <c r="C175" t="s">
        <v>605</v>
      </c>
      <c r="D175" t="s">
        <v>20</v>
      </c>
      <c r="E175" t="s">
        <v>35</v>
      </c>
      <c r="F175">
        <v>4</v>
      </c>
      <c r="G175">
        <v>991</v>
      </c>
      <c r="H175">
        <v>3964</v>
      </c>
    </row>
    <row r="176" spans="1:8" x14ac:dyDescent="0.25">
      <c r="A176" t="s">
        <v>731</v>
      </c>
      <c r="B176" s="1">
        <v>45164</v>
      </c>
      <c r="C176" t="s">
        <v>345</v>
      </c>
      <c r="D176" t="s">
        <v>10</v>
      </c>
      <c r="E176" t="s">
        <v>25</v>
      </c>
      <c r="F176">
        <v>5</v>
      </c>
      <c r="G176">
        <v>792</v>
      </c>
      <c r="H176">
        <v>3960</v>
      </c>
    </row>
    <row r="177" spans="1:8" x14ac:dyDescent="0.25">
      <c r="A177" t="s">
        <v>667</v>
      </c>
      <c r="B177" s="1">
        <v>45123</v>
      </c>
      <c r="C177" t="s">
        <v>477</v>
      </c>
      <c r="D177" t="s">
        <v>27</v>
      </c>
      <c r="E177" t="s">
        <v>35</v>
      </c>
      <c r="F177">
        <v>4</v>
      </c>
      <c r="G177">
        <v>989</v>
      </c>
      <c r="H177">
        <v>3956</v>
      </c>
    </row>
    <row r="178" spans="1:8" x14ac:dyDescent="0.25">
      <c r="A178" t="s">
        <v>1814</v>
      </c>
      <c r="B178" s="1">
        <v>45130</v>
      </c>
      <c r="C178" t="s">
        <v>183</v>
      </c>
      <c r="D178" t="s">
        <v>20</v>
      </c>
      <c r="E178" t="s">
        <v>35</v>
      </c>
      <c r="F178">
        <v>4</v>
      </c>
      <c r="G178">
        <v>989</v>
      </c>
      <c r="H178">
        <v>3956</v>
      </c>
    </row>
    <row r="179" spans="1:8" x14ac:dyDescent="0.25">
      <c r="A179" t="s">
        <v>1302</v>
      </c>
      <c r="B179" s="1">
        <v>44943</v>
      </c>
      <c r="C179" t="s">
        <v>690</v>
      </c>
      <c r="D179" t="s">
        <v>17</v>
      </c>
      <c r="E179" t="s">
        <v>14</v>
      </c>
      <c r="F179">
        <v>5</v>
      </c>
      <c r="G179">
        <v>790</v>
      </c>
      <c r="H179">
        <v>3950</v>
      </c>
    </row>
    <row r="180" spans="1:8" x14ac:dyDescent="0.25">
      <c r="A180" t="s">
        <v>23</v>
      </c>
      <c r="B180" s="1">
        <v>45543</v>
      </c>
      <c r="C180" t="s">
        <v>24</v>
      </c>
      <c r="D180" t="s">
        <v>20</v>
      </c>
      <c r="E180" t="s">
        <v>25</v>
      </c>
      <c r="F180">
        <v>5</v>
      </c>
      <c r="G180">
        <v>788</v>
      </c>
      <c r="H180">
        <v>3940</v>
      </c>
    </row>
    <row r="181" spans="1:8" x14ac:dyDescent="0.25">
      <c r="A181" t="s">
        <v>1511</v>
      </c>
      <c r="B181" s="1">
        <v>45067</v>
      </c>
      <c r="C181" t="s">
        <v>19</v>
      </c>
      <c r="D181" t="s">
        <v>20</v>
      </c>
      <c r="E181" t="s">
        <v>25</v>
      </c>
      <c r="F181">
        <v>4</v>
      </c>
      <c r="G181">
        <v>983</v>
      </c>
      <c r="H181">
        <v>3932</v>
      </c>
    </row>
    <row r="182" spans="1:8" x14ac:dyDescent="0.25">
      <c r="A182" t="s">
        <v>681</v>
      </c>
      <c r="B182" s="1">
        <v>45151</v>
      </c>
      <c r="C182" t="s">
        <v>185</v>
      </c>
      <c r="D182" t="s">
        <v>10</v>
      </c>
      <c r="E182" t="s">
        <v>35</v>
      </c>
      <c r="F182">
        <v>5</v>
      </c>
      <c r="G182">
        <v>786</v>
      </c>
      <c r="H182">
        <v>3930</v>
      </c>
    </row>
    <row r="183" spans="1:8" x14ac:dyDescent="0.25">
      <c r="A183" t="s">
        <v>331</v>
      </c>
      <c r="B183" s="1">
        <v>44929</v>
      </c>
      <c r="C183" t="s">
        <v>332</v>
      </c>
      <c r="D183" t="s">
        <v>17</v>
      </c>
      <c r="E183" t="s">
        <v>35</v>
      </c>
      <c r="F183">
        <v>4</v>
      </c>
      <c r="G183">
        <v>981</v>
      </c>
      <c r="H183">
        <v>3924</v>
      </c>
    </row>
    <row r="184" spans="1:8" x14ac:dyDescent="0.25">
      <c r="A184" t="s">
        <v>1552</v>
      </c>
      <c r="B184" s="1">
        <v>45354</v>
      </c>
      <c r="C184" t="s">
        <v>607</v>
      </c>
      <c r="D184" t="s">
        <v>17</v>
      </c>
      <c r="E184" t="s">
        <v>14</v>
      </c>
      <c r="F184">
        <v>5</v>
      </c>
      <c r="G184">
        <v>783</v>
      </c>
      <c r="H184">
        <v>3915</v>
      </c>
    </row>
    <row r="185" spans="1:8" x14ac:dyDescent="0.25">
      <c r="A185" t="s">
        <v>1699</v>
      </c>
      <c r="B185" s="1">
        <v>45046</v>
      </c>
      <c r="C185" t="s">
        <v>304</v>
      </c>
      <c r="D185" t="s">
        <v>20</v>
      </c>
      <c r="E185" t="s">
        <v>11</v>
      </c>
      <c r="F185">
        <v>5</v>
      </c>
      <c r="G185">
        <v>782</v>
      </c>
      <c r="H185">
        <v>3910</v>
      </c>
    </row>
    <row r="186" spans="1:8" x14ac:dyDescent="0.25">
      <c r="A186" t="s">
        <v>977</v>
      </c>
      <c r="B186" s="1">
        <v>45291</v>
      </c>
      <c r="C186" t="s">
        <v>282</v>
      </c>
      <c r="D186" t="s">
        <v>10</v>
      </c>
      <c r="E186" t="s">
        <v>14</v>
      </c>
      <c r="F186">
        <v>4</v>
      </c>
      <c r="G186">
        <v>976</v>
      </c>
      <c r="H186">
        <v>3904</v>
      </c>
    </row>
    <row r="187" spans="1:8" x14ac:dyDescent="0.25">
      <c r="A187" t="s">
        <v>1605</v>
      </c>
      <c r="B187" s="1">
        <v>45353</v>
      </c>
      <c r="C187" t="s">
        <v>420</v>
      </c>
      <c r="D187" t="s">
        <v>10</v>
      </c>
      <c r="E187" t="s">
        <v>35</v>
      </c>
      <c r="F187">
        <v>5</v>
      </c>
      <c r="G187">
        <v>780</v>
      </c>
      <c r="H187">
        <v>3900</v>
      </c>
    </row>
    <row r="188" spans="1:8" x14ac:dyDescent="0.25">
      <c r="A188" t="s">
        <v>1644</v>
      </c>
      <c r="B188" s="1">
        <v>45390</v>
      </c>
      <c r="C188" t="s">
        <v>232</v>
      </c>
      <c r="D188" t="s">
        <v>10</v>
      </c>
      <c r="E188" t="s">
        <v>11</v>
      </c>
      <c r="F188">
        <v>4</v>
      </c>
      <c r="G188">
        <v>969</v>
      </c>
      <c r="H188">
        <v>3876</v>
      </c>
    </row>
    <row r="189" spans="1:8" x14ac:dyDescent="0.25">
      <c r="A189" t="s">
        <v>1300</v>
      </c>
      <c r="B189" s="1">
        <v>45538</v>
      </c>
      <c r="C189" t="s">
        <v>51</v>
      </c>
      <c r="D189" t="s">
        <v>17</v>
      </c>
      <c r="E189" t="s">
        <v>14</v>
      </c>
      <c r="F189">
        <v>4</v>
      </c>
      <c r="G189">
        <v>964</v>
      </c>
      <c r="H189">
        <v>3856</v>
      </c>
    </row>
    <row r="190" spans="1:8" x14ac:dyDescent="0.25">
      <c r="A190" t="s">
        <v>335</v>
      </c>
      <c r="B190" s="1">
        <v>45354</v>
      </c>
      <c r="C190" t="s">
        <v>336</v>
      </c>
      <c r="D190" t="s">
        <v>27</v>
      </c>
      <c r="E190" t="s">
        <v>32</v>
      </c>
      <c r="F190">
        <v>4</v>
      </c>
      <c r="G190">
        <v>959</v>
      </c>
      <c r="H190">
        <v>3836</v>
      </c>
    </row>
    <row r="191" spans="1:8" x14ac:dyDescent="0.25">
      <c r="A191" t="s">
        <v>967</v>
      </c>
      <c r="B191" s="1">
        <v>44938</v>
      </c>
      <c r="C191" t="s">
        <v>473</v>
      </c>
      <c r="D191" t="s">
        <v>20</v>
      </c>
      <c r="E191" t="s">
        <v>11</v>
      </c>
      <c r="F191">
        <v>4</v>
      </c>
      <c r="G191">
        <v>956</v>
      </c>
      <c r="H191">
        <v>3824</v>
      </c>
    </row>
    <row r="192" spans="1:8" x14ac:dyDescent="0.25">
      <c r="A192" t="s">
        <v>455</v>
      </c>
      <c r="B192" s="1">
        <v>44946</v>
      </c>
      <c r="C192" t="s">
        <v>456</v>
      </c>
      <c r="D192" t="s">
        <v>10</v>
      </c>
      <c r="E192" t="s">
        <v>32</v>
      </c>
      <c r="F192">
        <v>4</v>
      </c>
      <c r="G192">
        <v>954</v>
      </c>
      <c r="H192">
        <v>3816</v>
      </c>
    </row>
    <row r="193" spans="1:8" x14ac:dyDescent="0.25">
      <c r="A193" t="s">
        <v>1521</v>
      </c>
      <c r="B193" s="1">
        <v>45077</v>
      </c>
      <c r="C193" t="s">
        <v>136</v>
      </c>
      <c r="D193" t="s">
        <v>20</v>
      </c>
      <c r="E193" t="s">
        <v>11</v>
      </c>
      <c r="F193">
        <v>4</v>
      </c>
      <c r="G193">
        <v>954</v>
      </c>
      <c r="H193">
        <v>3816</v>
      </c>
    </row>
    <row r="194" spans="1:8" x14ac:dyDescent="0.25">
      <c r="A194" t="s">
        <v>507</v>
      </c>
      <c r="B194" s="1">
        <v>45118</v>
      </c>
      <c r="C194" t="s">
        <v>252</v>
      </c>
      <c r="D194" t="s">
        <v>17</v>
      </c>
      <c r="E194" t="s">
        <v>11</v>
      </c>
      <c r="F194">
        <v>5</v>
      </c>
      <c r="G194">
        <v>762</v>
      </c>
      <c r="H194">
        <v>3810</v>
      </c>
    </row>
    <row r="195" spans="1:8" x14ac:dyDescent="0.25">
      <c r="A195" t="s">
        <v>93</v>
      </c>
      <c r="B195" s="1">
        <v>45242</v>
      </c>
      <c r="C195" t="s">
        <v>94</v>
      </c>
      <c r="D195" t="s">
        <v>20</v>
      </c>
      <c r="E195" t="s">
        <v>32</v>
      </c>
      <c r="F195">
        <v>4</v>
      </c>
      <c r="G195">
        <v>952</v>
      </c>
      <c r="H195">
        <v>3808</v>
      </c>
    </row>
    <row r="196" spans="1:8" x14ac:dyDescent="0.25">
      <c r="A196" t="s">
        <v>447</v>
      </c>
      <c r="B196" s="1">
        <v>44951</v>
      </c>
      <c r="C196" t="s">
        <v>197</v>
      </c>
      <c r="D196" t="s">
        <v>10</v>
      </c>
      <c r="E196" t="s">
        <v>35</v>
      </c>
      <c r="F196">
        <v>5</v>
      </c>
      <c r="G196">
        <v>759</v>
      </c>
      <c r="H196">
        <v>3795</v>
      </c>
    </row>
    <row r="197" spans="1:8" x14ac:dyDescent="0.25">
      <c r="A197" t="s">
        <v>303</v>
      </c>
      <c r="B197" s="1">
        <v>45130</v>
      </c>
      <c r="C197" t="s">
        <v>304</v>
      </c>
      <c r="D197" t="s">
        <v>27</v>
      </c>
      <c r="E197" t="s">
        <v>25</v>
      </c>
      <c r="F197">
        <v>5</v>
      </c>
      <c r="G197">
        <v>758</v>
      </c>
      <c r="H197">
        <v>3790</v>
      </c>
    </row>
    <row r="198" spans="1:8" x14ac:dyDescent="0.25">
      <c r="A198" t="s">
        <v>1793</v>
      </c>
      <c r="B198" s="1">
        <v>45042</v>
      </c>
      <c r="C198" t="s">
        <v>254</v>
      </c>
      <c r="D198" t="s">
        <v>20</v>
      </c>
      <c r="E198" t="s">
        <v>11</v>
      </c>
      <c r="F198">
        <v>4</v>
      </c>
      <c r="G198">
        <v>942</v>
      </c>
      <c r="H198">
        <v>3768</v>
      </c>
    </row>
    <row r="199" spans="1:8" x14ac:dyDescent="0.25">
      <c r="A199" t="s">
        <v>1772</v>
      </c>
      <c r="B199" s="1">
        <v>45422</v>
      </c>
      <c r="C199" t="s">
        <v>1237</v>
      </c>
      <c r="D199" t="s">
        <v>27</v>
      </c>
      <c r="E199" t="s">
        <v>35</v>
      </c>
      <c r="F199">
        <v>5</v>
      </c>
      <c r="G199">
        <v>749</v>
      </c>
      <c r="H199">
        <v>3745</v>
      </c>
    </row>
    <row r="200" spans="1:8" x14ac:dyDescent="0.25">
      <c r="A200" t="s">
        <v>923</v>
      </c>
      <c r="B200" s="1">
        <v>45209</v>
      </c>
      <c r="C200" t="s">
        <v>531</v>
      </c>
      <c r="D200" t="s">
        <v>27</v>
      </c>
      <c r="E200" t="s">
        <v>14</v>
      </c>
      <c r="F200">
        <v>5</v>
      </c>
      <c r="G200">
        <v>748</v>
      </c>
      <c r="H200">
        <v>3740</v>
      </c>
    </row>
    <row r="201" spans="1:8" x14ac:dyDescent="0.25">
      <c r="A201" t="s">
        <v>677</v>
      </c>
      <c r="B201" s="1">
        <v>45382</v>
      </c>
      <c r="C201" t="s">
        <v>313</v>
      </c>
      <c r="D201" t="s">
        <v>20</v>
      </c>
      <c r="E201" t="s">
        <v>11</v>
      </c>
      <c r="F201">
        <v>4</v>
      </c>
      <c r="G201">
        <v>932</v>
      </c>
      <c r="H201">
        <v>3728</v>
      </c>
    </row>
    <row r="202" spans="1:8" x14ac:dyDescent="0.25">
      <c r="A202" t="s">
        <v>1093</v>
      </c>
      <c r="B202" s="1">
        <v>45085</v>
      </c>
      <c r="C202" t="s">
        <v>598</v>
      </c>
      <c r="D202" t="s">
        <v>20</v>
      </c>
      <c r="E202" t="s">
        <v>35</v>
      </c>
      <c r="F202">
        <v>5</v>
      </c>
      <c r="G202">
        <v>745</v>
      </c>
      <c r="H202">
        <v>3725</v>
      </c>
    </row>
    <row r="203" spans="1:8" x14ac:dyDescent="0.25">
      <c r="A203" t="s">
        <v>627</v>
      </c>
      <c r="B203" s="1">
        <v>45297</v>
      </c>
      <c r="C203" t="s">
        <v>76</v>
      </c>
      <c r="D203" t="s">
        <v>17</v>
      </c>
      <c r="E203" t="s">
        <v>35</v>
      </c>
      <c r="F203">
        <v>4</v>
      </c>
      <c r="G203">
        <v>930</v>
      </c>
      <c r="H203">
        <v>3720</v>
      </c>
    </row>
    <row r="204" spans="1:8" x14ac:dyDescent="0.25">
      <c r="A204" t="s">
        <v>227</v>
      </c>
      <c r="B204" s="1">
        <v>45088</v>
      </c>
      <c r="C204" t="s">
        <v>228</v>
      </c>
      <c r="D204" t="s">
        <v>10</v>
      </c>
      <c r="E204" t="s">
        <v>32</v>
      </c>
      <c r="F204">
        <v>4</v>
      </c>
      <c r="G204">
        <v>929</v>
      </c>
      <c r="H204">
        <v>3716</v>
      </c>
    </row>
    <row r="205" spans="1:8" x14ac:dyDescent="0.25">
      <c r="A205" t="s">
        <v>725</v>
      </c>
      <c r="B205" s="1">
        <v>45364</v>
      </c>
      <c r="C205" t="s">
        <v>31</v>
      </c>
      <c r="D205" t="s">
        <v>10</v>
      </c>
      <c r="E205" t="s">
        <v>35</v>
      </c>
      <c r="F205">
        <v>5</v>
      </c>
      <c r="G205">
        <v>743</v>
      </c>
      <c r="H205">
        <v>3715</v>
      </c>
    </row>
    <row r="206" spans="1:8" x14ac:dyDescent="0.25">
      <c r="A206" t="s">
        <v>434</v>
      </c>
      <c r="B206" s="1">
        <v>44937</v>
      </c>
      <c r="C206" t="s">
        <v>435</v>
      </c>
      <c r="D206" t="s">
        <v>27</v>
      </c>
      <c r="E206" t="s">
        <v>32</v>
      </c>
      <c r="F206">
        <v>5</v>
      </c>
      <c r="G206">
        <v>742</v>
      </c>
      <c r="H206">
        <v>3710</v>
      </c>
    </row>
    <row r="207" spans="1:8" x14ac:dyDescent="0.25">
      <c r="A207" t="s">
        <v>1273</v>
      </c>
      <c r="B207" s="1">
        <v>45520</v>
      </c>
      <c r="C207" t="s">
        <v>574</v>
      </c>
      <c r="D207" t="s">
        <v>10</v>
      </c>
      <c r="E207" t="s">
        <v>11</v>
      </c>
      <c r="F207">
        <v>4</v>
      </c>
      <c r="G207">
        <v>919</v>
      </c>
      <c r="H207">
        <v>3676</v>
      </c>
    </row>
    <row r="208" spans="1:8" x14ac:dyDescent="0.25">
      <c r="A208" t="s">
        <v>1070</v>
      </c>
      <c r="B208" s="1">
        <v>44997</v>
      </c>
      <c r="C208" t="s">
        <v>471</v>
      </c>
      <c r="D208" t="s">
        <v>17</v>
      </c>
      <c r="E208" t="s">
        <v>32</v>
      </c>
      <c r="F208">
        <v>4</v>
      </c>
      <c r="G208">
        <v>917</v>
      </c>
      <c r="H208">
        <v>3668</v>
      </c>
    </row>
    <row r="209" spans="1:8" x14ac:dyDescent="0.25">
      <c r="A209" t="s">
        <v>1003</v>
      </c>
      <c r="B209" s="1">
        <v>44981</v>
      </c>
      <c r="C209" t="s">
        <v>848</v>
      </c>
      <c r="D209" t="s">
        <v>17</v>
      </c>
      <c r="E209" t="s">
        <v>11</v>
      </c>
      <c r="F209">
        <v>5</v>
      </c>
      <c r="G209">
        <v>729</v>
      </c>
      <c r="H209">
        <v>3645</v>
      </c>
    </row>
    <row r="210" spans="1:8" x14ac:dyDescent="0.25">
      <c r="A210" t="s">
        <v>341</v>
      </c>
      <c r="B210" s="1">
        <v>45537</v>
      </c>
      <c r="C210" t="s">
        <v>306</v>
      </c>
      <c r="D210" t="s">
        <v>27</v>
      </c>
      <c r="E210" t="s">
        <v>32</v>
      </c>
      <c r="F210">
        <v>4</v>
      </c>
      <c r="G210">
        <v>909</v>
      </c>
      <c r="H210">
        <v>3636</v>
      </c>
    </row>
    <row r="211" spans="1:8" x14ac:dyDescent="0.25">
      <c r="A211" t="s">
        <v>1104</v>
      </c>
      <c r="B211" s="1">
        <v>45245</v>
      </c>
      <c r="C211" t="s">
        <v>377</v>
      </c>
      <c r="D211" t="s">
        <v>27</v>
      </c>
      <c r="E211" t="s">
        <v>32</v>
      </c>
      <c r="F211">
        <v>5</v>
      </c>
      <c r="G211">
        <v>725</v>
      </c>
      <c r="H211">
        <v>3625</v>
      </c>
    </row>
    <row r="212" spans="1:8" x14ac:dyDescent="0.25">
      <c r="A212" t="s">
        <v>684</v>
      </c>
      <c r="B212" s="1">
        <v>45549</v>
      </c>
      <c r="C212" t="s">
        <v>685</v>
      </c>
      <c r="D212" t="s">
        <v>20</v>
      </c>
      <c r="E212" t="s">
        <v>32</v>
      </c>
      <c r="F212">
        <v>4</v>
      </c>
      <c r="G212">
        <v>902</v>
      </c>
      <c r="H212">
        <v>3608</v>
      </c>
    </row>
    <row r="213" spans="1:8" x14ac:dyDescent="0.25">
      <c r="A213" t="s">
        <v>1286</v>
      </c>
      <c r="B213" s="1">
        <v>44964</v>
      </c>
      <c r="C213" t="s">
        <v>98</v>
      </c>
      <c r="D213" t="s">
        <v>20</v>
      </c>
      <c r="E213" t="s">
        <v>35</v>
      </c>
      <c r="F213">
        <v>4</v>
      </c>
      <c r="G213">
        <v>900</v>
      </c>
      <c r="H213">
        <v>3600</v>
      </c>
    </row>
    <row r="214" spans="1:8" x14ac:dyDescent="0.25">
      <c r="A214" t="s">
        <v>1324</v>
      </c>
      <c r="B214" s="1">
        <v>45353</v>
      </c>
      <c r="C214" t="s">
        <v>270</v>
      </c>
      <c r="D214" t="s">
        <v>27</v>
      </c>
      <c r="E214" t="s">
        <v>32</v>
      </c>
      <c r="F214">
        <v>3</v>
      </c>
      <c r="G214">
        <v>1197</v>
      </c>
      <c r="H214">
        <v>3591</v>
      </c>
    </row>
    <row r="215" spans="1:8" x14ac:dyDescent="0.25">
      <c r="A215" t="s">
        <v>1754</v>
      </c>
      <c r="B215" s="1">
        <v>45258</v>
      </c>
      <c r="C215" t="s">
        <v>166</v>
      </c>
      <c r="D215" t="s">
        <v>10</v>
      </c>
      <c r="E215" t="s">
        <v>35</v>
      </c>
      <c r="F215">
        <v>5</v>
      </c>
      <c r="G215">
        <v>718</v>
      </c>
      <c r="H215">
        <v>3590</v>
      </c>
    </row>
    <row r="216" spans="1:8" x14ac:dyDescent="0.25">
      <c r="A216" t="s">
        <v>670</v>
      </c>
      <c r="B216" s="1">
        <v>45066</v>
      </c>
      <c r="C216" t="s">
        <v>671</v>
      </c>
      <c r="D216" t="s">
        <v>20</v>
      </c>
      <c r="E216" t="s">
        <v>32</v>
      </c>
      <c r="F216">
        <v>4</v>
      </c>
      <c r="G216">
        <v>897</v>
      </c>
      <c r="H216">
        <v>3588</v>
      </c>
    </row>
    <row r="217" spans="1:8" x14ac:dyDescent="0.25">
      <c r="A217" t="s">
        <v>1568</v>
      </c>
      <c r="B217" s="1">
        <v>45318</v>
      </c>
      <c r="C217" t="s">
        <v>298</v>
      </c>
      <c r="D217" t="s">
        <v>20</v>
      </c>
      <c r="E217" t="s">
        <v>14</v>
      </c>
      <c r="F217">
        <v>5</v>
      </c>
      <c r="G217">
        <v>717</v>
      </c>
      <c r="H217">
        <v>3585</v>
      </c>
    </row>
    <row r="218" spans="1:8" x14ac:dyDescent="0.25">
      <c r="A218" t="s">
        <v>1561</v>
      </c>
      <c r="B218" s="1">
        <v>45309</v>
      </c>
      <c r="C218" t="s">
        <v>169</v>
      </c>
      <c r="D218" t="s">
        <v>17</v>
      </c>
      <c r="E218" t="s">
        <v>11</v>
      </c>
      <c r="F218">
        <v>4</v>
      </c>
      <c r="G218">
        <v>895</v>
      </c>
      <c r="H218">
        <v>3580</v>
      </c>
    </row>
    <row r="219" spans="1:8" x14ac:dyDescent="0.25">
      <c r="A219" t="s">
        <v>1393</v>
      </c>
      <c r="B219" s="1">
        <v>45055</v>
      </c>
      <c r="C219" t="s">
        <v>396</v>
      </c>
      <c r="D219" t="s">
        <v>20</v>
      </c>
      <c r="E219" t="s">
        <v>11</v>
      </c>
      <c r="F219">
        <v>3</v>
      </c>
      <c r="G219">
        <v>1192</v>
      </c>
      <c r="H219">
        <v>3576</v>
      </c>
    </row>
    <row r="220" spans="1:8" x14ac:dyDescent="0.25">
      <c r="A220" t="s">
        <v>363</v>
      </c>
      <c r="B220" s="1">
        <v>45343</v>
      </c>
      <c r="C220" t="s">
        <v>364</v>
      </c>
      <c r="D220" t="s">
        <v>10</v>
      </c>
      <c r="E220" t="s">
        <v>32</v>
      </c>
      <c r="F220">
        <v>4</v>
      </c>
      <c r="G220">
        <v>893</v>
      </c>
      <c r="H220">
        <v>3572</v>
      </c>
    </row>
    <row r="221" spans="1:8" x14ac:dyDescent="0.25">
      <c r="A221" t="s">
        <v>1732</v>
      </c>
      <c r="B221" s="1">
        <v>45258</v>
      </c>
      <c r="C221" t="s">
        <v>1172</v>
      </c>
      <c r="D221" t="s">
        <v>10</v>
      </c>
      <c r="E221" t="s">
        <v>32</v>
      </c>
      <c r="F221">
        <v>4</v>
      </c>
      <c r="G221">
        <v>892</v>
      </c>
      <c r="H221">
        <v>3568</v>
      </c>
    </row>
    <row r="222" spans="1:8" x14ac:dyDescent="0.25">
      <c r="A222" t="s">
        <v>1797</v>
      </c>
      <c r="B222" s="1">
        <v>45431</v>
      </c>
      <c r="C222" t="s">
        <v>558</v>
      </c>
      <c r="D222" t="s">
        <v>27</v>
      </c>
      <c r="E222" t="s">
        <v>32</v>
      </c>
      <c r="F222">
        <v>4</v>
      </c>
      <c r="G222">
        <v>892</v>
      </c>
      <c r="H222">
        <v>3568</v>
      </c>
    </row>
    <row r="223" spans="1:8" x14ac:dyDescent="0.25">
      <c r="A223" t="s">
        <v>56</v>
      </c>
      <c r="B223" s="1">
        <v>45526</v>
      </c>
      <c r="C223" t="s">
        <v>57</v>
      </c>
      <c r="D223" t="s">
        <v>10</v>
      </c>
      <c r="E223" t="s">
        <v>14</v>
      </c>
      <c r="F223">
        <v>4</v>
      </c>
      <c r="G223">
        <v>890</v>
      </c>
      <c r="H223">
        <v>3560</v>
      </c>
    </row>
    <row r="224" spans="1:8" x14ac:dyDescent="0.25">
      <c r="A224" t="s">
        <v>1175</v>
      </c>
      <c r="B224" s="1">
        <v>45198</v>
      </c>
      <c r="C224" t="s">
        <v>109</v>
      </c>
      <c r="D224" t="s">
        <v>27</v>
      </c>
      <c r="E224" t="s">
        <v>11</v>
      </c>
      <c r="F224">
        <v>4</v>
      </c>
      <c r="G224">
        <v>889</v>
      </c>
      <c r="H224">
        <v>3556</v>
      </c>
    </row>
    <row r="225" spans="1:8" x14ac:dyDescent="0.25">
      <c r="A225" t="s">
        <v>1381</v>
      </c>
      <c r="B225" s="1">
        <v>45288</v>
      </c>
      <c r="C225" t="s">
        <v>446</v>
      </c>
      <c r="D225" t="s">
        <v>10</v>
      </c>
      <c r="E225" t="s">
        <v>32</v>
      </c>
      <c r="F225">
        <v>4</v>
      </c>
      <c r="G225">
        <v>889</v>
      </c>
      <c r="H225">
        <v>3556</v>
      </c>
    </row>
    <row r="226" spans="1:8" x14ac:dyDescent="0.25">
      <c r="A226" t="s">
        <v>1653</v>
      </c>
      <c r="B226" s="1">
        <v>45385</v>
      </c>
      <c r="C226" t="s">
        <v>1101</v>
      </c>
      <c r="D226" t="s">
        <v>17</v>
      </c>
      <c r="E226" t="s">
        <v>11</v>
      </c>
      <c r="F226">
        <v>4</v>
      </c>
      <c r="G226">
        <v>889</v>
      </c>
      <c r="H226">
        <v>3556</v>
      </c>
    </row>
    <row r="227" spans="1:8" x14ac:dyDescent="0.25">
      <c r="A227" t="s">
        <v>1224</v>
      </c>
      <c r="B227" s="1">
        <v>45389</v>
      </c>
      <c r="C227" t="s">
        <v>1144</v>
      </c>
      <c r="D227" t="s">
        <v>20</v>
      </c>
      <c r="E227" t="s">
        <v>11</v>
      </c>
      <c r="F227">
        <v>4</v>
      </c>
      <c r="G227">
        <v>888</v>
      </c>
      <c r="H227">
        <v>3552</v>
      </c>
    </row>
    <row r="228" spans="1:8" x14ac:dyDescent="0.25">
      <c r="A228" t="s">
        <v>676</v>
      </c>
      <c r="B228" s="1">
        <v>45464</v>
      </c>
      <c r="C228" t="s">
        <v>230</v>
      </c>
      <c r="D228" t="s">
        <v>27</v>
      </c>
      <c r="E228" t="s">
        <v>32</v>
      </c>
      <c r="F228">
        <v>5</v>
      </c>
      <c r="G228">
        <v>707</v>
      </c>
      <c r="H228">
        <v>3535</v>
      </c>
    </row>
    <row r="229" spans="1:8" x14ac:dyDescent="0.25">
      <c r="A229" t="s">
        <v>1171</v>
      </c>
      <c r="B229" s="1">
        <v>45562</v>
      </c>
      <c r="C229" t="s">
        <v>1172</v>
      </c>
      <c r="D229" t="s">
        <v>27</v>
      </c>
      <c r="E229" t="s">
        <v>25</v>
      </c>
      <c r="F229">
        <v>3</v>
      </c>
      <c r="G229">
        <v>1178</v>
      </c>
      <c r="H229">
        <v>3534</v>
      </c>
    </row>
    <row r="230" spans="1:8" x14ac:dyDescent="0.25">
      <c r="A230" t="s">
        <v>1587</v>
      </c>
      <c r="B230" s="1">
        <v>45064</v>
      </c>
      <c r="C230" t="s">
        <v>119</v>
      </c>
      <c r="D230" t="s">
        <v>10</v>
      </c>
      <c r="E230" t="s">
        <v>25</v>
      </c>
      <c r="F230">
        <v>4</v>
      </c>
      <c r="G230">
        <v>883</v>
      </c>
      <c r="H230">
        <v>3532</v>
      </c>
    </row>
    <row r="231" spans="1:8" x14ac:dyDescent="0.25">
      <c r="A231" t="s">
        <v>1004</v>
      </c>
      <c r="B231" s="1">
        <v>45383</v>
      </c>
      <c r="C231" t="s">
        <v>614</v>
      </c>
      <c r="D231" t="s">
        <v>17</v>
      </c>
      <c r="E231" t="s">
        <v>11</v>
      </c>
      <c r="F231">
        <v>5</v>
      </c>
      <c r="G231">
        <v>706</v>
      </c>
      <c r="H231">
        <v>3530</v>
      </c>
    </row>
    <row r="232" spans="1:8" x14ac:dyDescent="0.25">
      <c r="A232" t="s">
        <v>636</v>
      </c>
      <c r="B232" s="1">
        <v>44991</v>
      </c>
      <c r="C232" t="s">
        <v>43</v>
      </c>
      <c r="D232" t="s">
        <v>27</v>
      </c>
      <c r="E232" t="s">
        <v>11</v>
      </c>
      <c r="F232">
        <v>3</v>
      </c>
      <c r="G232">
        <v>1176</v>
      </c>
      <c r="H232">
        <v>3528</v>
      </c>
    </row>
    <row r="233" spans="1:8" x14ac:dyDescent="0.25">
      <c r="A233" t="s">
        <v>1572</v>
      </c>
      <c r="B233" s="1">
        <v>44937</v>
      </c>
      <c r="C233" t="s">
        <v>836</v>
      </c>
      <c r="D233" t="s">
        <v>20</v>
      </c>
      <c r="E233" t="s">
        <v>32</v>
      </c>
      <c r="F233">
        <v>4</v>
      </c>
      <c r="G233">
        <v>881</v>
      </c>
      <c r="H233">
        <v>3524</v>
      </c>
    </row>
    <row r="234" spans="1:8" x14ac:dyDescent="0.25">
      <c r="A234" t="s">
        <v>1778</v>
      </c>
      <c r="B234" s="1">
        <v>45045</v>
      </c>
      <c r="C234" t="s">
        <v>589</v>
      </c>
      <c r="D234" t="s">
        <v>10</v>
      </c>
      <c r="E234" t="s">
        <v>25</v>
      </c>
      <c r="F234">
        <v>4</v>
      </c>
      <c r="G234">
        <v>881</v>
      </c>
      <c r="H234">
        <v>3524</v>
      </c>
    </row>
    <row r="235" spans="1:8" x14ac:dyDescent="0.25">
      <c r="A235" t="s">
        <v>540</v>
      </c>
      <c r="B235" s="1">
        <v>45418</v>
      </c>
      <c r="C235" t="s">
        <v>541</v>
      </c>
      <c r="D235" t="s">
        <v>27</v>
      </c>
      <c r="E235" t="s">
        <v>11</v>
      </c>
      <c r="F235">
        <v>4</v>
      </c>
      <c r="G235">
        <v>879</v>
      </c>
      <c r="H235">
        <v>3516</v>
      </c>
    </row>
    <row r="236" spans="1:8" x14ac:dyDescent="0.25">
      <c r="A236" t="s">
        <v>1146</v>
      </c>
      <c r="B236" s="1">
        <v>45434</v>
      </c>
      <c r="C236" t="s">
        <v>230</v>
      </c>
      <c r="D236" t="s">
        <v>27</v>
      </c>
      <c r="E236" t="s">
        <v>11</v>
      </c>
      <c r="F236">
        <v>4</v>
      </c>
      <c r="G236">
        <v>877</v>
      </c>
      <c r="H236">
        <v>3508</v>
      </c>
    </row>
    <row r="237" spans="1:8" x14ac:dyDescent="0.25">
      <c r="A237" t="s">
        <v>1121</v>
      </c>
      <c r="B237" s="1">
        <v>45410</v>
      </c>
      <c r="C237" t="s">
        <v>219</v>
      </c>
      <c r="D237" t="s">
        <v>10</v>
      </c>
      <c r="E237" t="s">
        <v>25</v>
      </c>
      <c r="F237">
        <v>3</v>
      </c>
      <c r="G237">
        <v>1169</v>
      </c>
      <c r="H237">
        <v>3507</v>
      </c>
    </row>
    <row r="238" spans="1:8" x14ac:dyDescent="0.25">
      <c r="A238" t="s">
        <v>293</v>
      </c>
      <c r="B238" s="1">
        <v>45242</v>
      </c>
      <c r="C238" t="s">
        <v>294</v>
      </c>
      <c r="D238" t="s">
        <v>17</v>
      </c>
      <c r="E238" t="s">
        <v>25</v>
      </c>
      <c r="F238">
        <v>4</v>
      </c>
      <c r="G238">
        <v>876</v>
      </c>
      <c r="H238">
        <v>3504</v>
      </c>
    </row>
    <row r="239" spans="1:8" x14ac:dyDescent="0.25">
      <c r="A239" t="s">
        <v>1270</v>
      </c>
      <c r="B239" s="1">
        <v>45402</v>
      </c>
      <c r="C239" t="s">
        <v>156</v>
      </c>
      <c r="D239" t="s">
        <v>10</v>
      </c>
      <c r="E239" t="s">
        <v>11</v>
      </c>
      <c r="F239">
        <v>3</v>
      </c>
      <c r="G239">
        <v>1168</v>
      </c>
      <c r="H239">
        <v>3504</v>
      </c>
    </row>
    <row r="240" spans="1:8" x14ac:dyDescent="0.25">
      <c r="A240" t="s">
        <v>526</v>
      </c>
      <c r="B240" s="1">
        <v>45206</v>
      </c>
      <c r="C240" t="s">
        <v>527</v>
      </c>
      <c r="D240" t="s">
        <v>20</v>
      </c>
      <c r="E240" t="s">
        <v>14</v>
      </c>
      <c r="F240">
        <v>3</v>
      </c>
      <c r="G240">
        <v>1167</v>
      </c>
      <c r="H240">
        <v>3501</v>
      </c>
    </row>
    <row r="241" spans="1:8" x14ac:dyDescent="0.25">
      <c r="A241" t="s">
        <v>1415</v>
      </c>
      <c r="B241" s="1">
        <v>45081</v>
      </c>
      <c r="C241" t="s">
        <v>719</v>
      </c>
      <c r="D241" t="s">
        <v>10</v>
      </c>
      <c r="E241" t="s">
        <v>32</v>
      </c>
      <c r="F241">
        <v>5</v>
      </c>
      <c r="G241">
        <v>700</v>
      </c>
      <c r="H241">
        <v>3500</v>
      </c>
    </row>
    <row r="242" spans="1:8" x14ac:dyDescent="0.25">
      <c r="A242" t="s">
        <v>1353</v>
      </c>
      <c r="B242" s="1">
        <v>45302</v>
      </c>
      <c r="C242" t="s">
        <v>371</v>
      </c>
      <c r="D242" t="s">
        <v>20</v>
      </c>
      <c r="E242" t="s">
        <v>25</v>
      </c>
      <c r="F242">
        <v>3</v>
      </c>
      <c r="G242">
        <v>1166</v>
      </c>
      <c r="H242">
        <v>3498</v>
      </c>
    </row>
    <row r="243" spans="1:8" x14ac:dyDescent="0.25">
      <c r="A243" t="s">
        <v>1118</v>
      </c>
      <c r="B243" s="1">
        <v>45453</v>
      </c>
      <c r="C243" t="s">
        <v>16</v>
      </c>
      <c r="D243" t="s">
        <v>27</v>
      </c>
      <c r="E243" t="s">
        <v>14</v>
      </c>
      <c r="F243">
        <v>4</v>
      </c>
      <c r="G243">
        <v>874</v>
      </c>
      <c r="H243">
        <v>3496</v>
      </c>
    </row>
    <row r="244" spans="1:8" x14ac:dyDescent="0.25">
      <c r="A244" t="s">
        <v>1145</v>
      </c>
      <c r="B244" s="1">
        <v>45112</v>
      </c>
      <c r="C244" t="s">
        <v>473</v>
      </c>
      <c r="D244" t="s">
        <v>10</v>
      </c>
      <c r="E244" t="s">
        <v>35</v>
      </c>
      <c r="F244">
        <v>5</v>
      </c>
      <c r="G244">
        <v>699</v>
      </c>
      <c r="H244">
        <v>3495</v>
      </c>
    </row>
    <row r="245" spans="1:8" x14ac:dyDescent="0.25">
      <c r="A245" t="s">
        <v>515</v>
      </c>
      <c r="B245" s="1">
        <v>45464</v>
      </c>
      <c r="C245" t="s">
        <v>69</v>
      </c>
      <c r="D245" t="s">
        <v>17</v>
      </c>
      <c r="E245" t="s">
        <v>25</v>
      </c>
      <c r="F245">
        <v>3</v>
      </c>
      <c r="G245">
        <v>1164</v>
      </c>
      <c r="H245">
        <v>3492</v>
      </c>
    </row>
    <row r="246" spans="1:8" x14ac:dyDescent="0.25">
      <c r="A246" t="s">
        <v>1685</v>
      </c>
      <c r="B246" s="1">
        <v>45280</v>
      </c>
      <c r="C246" t="s">
        <v>618</v>
      </c>
      <c r="D246" t="s">
        <v>17</v>
      </c>
      <c r="E246" t="s">
        <v>35</v>
      </c>
      <c r="F246">
        <v>5</v>
      </c>
      <c r="G246">
        <v>698</v>
      </c>
      <c r="H246">
        <v>3490</v>
      </c>
    </row>
    <row r="247" spans="1:8" x14ac:dyDescent="0.25">
      <c r="A247" t="s">
        <v>542</v>
      </c>
      <c r="B247" s="1">
        <v>45264</v>
      </c>
      <c r="C247" t="s">
        <v>41</v>
      </c>
      <c r="D247" t="s">
        <v>20</v>
      </c>
      <c r="E247" t="s">
        <v>35</v>
      </c>
      <c r="F247">
        <v>4</v>
      </c>
      <c r="G247">
        <v>870</v>
      </c>
      <c r="H247">
        <v>3480</v>
      </c>
    </row>
    <row r="248" spans="1:8" x14ac:dyDescent="0.25">
      <c r="A248" t="s">
        <v>1040</v>
      </c>
      <c r="B248" s="1">
        <v>45219</v>
      </c>
      <c r="C248" t="s">
        <v>163</v>
      </c>
      <c r="D248" t="s">
        <v>10</v>
      </c>
      <c r="E248" t="s">
        <v>25</v>
      </c>
      <c r="F248">
        <v>3</v>
      </c>
      <c r="G248">
        <v>1160</v>
      </c>
      <c r="H248">
        <v>3480</v>
      </c>
    </row>
    <row r="249" spans="1:8" x14ac:dyDescent="0.25">
      <c r="A249" t="s">
        <v>1432</v>
      </c>
      <c r="B249" s="1">
        <v>45002</v>
      </c>
      <c r="C249" t="s">
        <v>633</v>
      </c>
      <c r="D249" t="s">
        <v>10</v>
      </c>
      <c r="E249" t="s">
        <v>14</v>
      </c>
      <c r="F249">
        <v>3</v>
      </c>
      <c r="G249">
        <v>1159</v>
      </c>
      <c r="H249">
        <v>3477</v>
      </c>
    </row>
    <row r="250" spans="1:8" x14ac:dyDescent="0.25">
      <c r="A250" t="s">
        <v>1320</v>
      </c>
      <c r="B250" s="1">
        <v>45621</v>
      </c>
      <c r="C250" t="s">
        <v>583</v>
      </c>
      <c r="D250" t="s">
        <v>17</v>
      </c>
      <c r="E250" t="s">
        <v>14</v>
      </c>
      <c r="F250">
        <v>4</v>
      </c>
      <c r="G250">
        <v>863</v>
      </c>
      <c r="H250">
        <v>3452</v>
      </c>
    </row>
    <row r="251" spans="1:8" x14ac:dyDescent="0.25">
      <c r="A251" t="s">
        <v>1532</v>
      </c>
      <c r="B251" s="1">
        <v>45023</v>
      </c>
      <c r="C251" t="s">
        <v>282</v>
      </c>
      <c r="D251" t="s">
        <v>27</v>
      </c>
      <c r="E251" t="s">
        <v>35</v>
      </c>
      <c r="F251">
        <v>5</v>
      </c>
      <c r="G251">
        <v>690</v>
      </c>
      <c r="H251">
        <v>3450</v>
      </c>
    </row>
    <row r="252" spans="1:8" x14ac:dyDescent="0.25">
      <c r="A252" t="s">
        <v>639</v>
      </c>
      <c r="B252" s="1">
        <v>45616</v>
      </c>
      <c r="C252" t="s">
        <v>51</v>
      </c>
      <c r="D252" t="s">
        <v>20</v>
      </c>
      <c r="E252" t="s">
        <v>32</v>
      </c>
      <c r="F252">
        <v>4</v>
      </c>
      <c r="G252">
        <v>855</v>
      </c>
      <c r="H252">
        <v>3420</v>
      </c>
    </row>
    <row r="253" spans="1:8" x14ac:dyDescent="0.25">
      <c r="A253" t="s">
        <v>1751</v>
      </c>
      <c r="B253" s="1">
        <v>45373</v>
      </c>
      <c r="C253" t="s">
        <v>125</v>
      </c>
      <c r="D253" t="s">
        <v>27</v>
      </c>
      <c r="E253" t="s">
        <v>35</v>
      </c>
      <c r="F253">
        <v>5</v>
      </c>
      <c r="G253">
        <v>683</v>
      </c>
      <c r="H253">
        <v>3415</v>
      </c>
    </row>
    <row r="254" spans="1:8" x14ac:dyDescent="0.25">
      <c r="A254" t="s">
        <v>1186</v>
      </c>
      <c r="B254" s="1">
        <v>45248</v>
      </c>
      <c r="C254" t="s">
        <v>348</v>
      </c>
      <c r="D254" t="s">
        <v>27</v>
      </c>
      <c r="E254" t="s">
        <v>32</v>
      </c>
      <c r="F254">
        <v>3</v>
      </c>
      <c r="G254">
        <v>1134</v>
      </c>
      <c r="H254">
        <v>3402</v>
      </c>
    </row>
    <row r="255" spans="1:8" x14ac:dyDescent="0.25">
      <c r="A255" t="s">
        <v>287</v>
      </c>
      <c r="B255" s="1">
        <v>45614</v>
      </c>
      <c r="C255" t="s">
        <v>144</v>
      </c>
      <c r="D255" t="s">
        <v>17</v>
      </c>
      <c r="E255" t="s">
        <v>35</v>
      </c>
      <c r="F255">
        <v>3</v>
      </c>
      <c r="G255">
        <v>1133</v>
      </c>
      <c r="H255">
        <v>3399</v>
      </c>
    </row>
    <row r="256" spans="1:8" x14ac:dyDescent="0.25">
      <c r="A256" t="s">
        <v>486</v>
      </c>
      <c r="B256" s="1">
        <v>45586</v>
      </c>
      <c r="C256" t="s">
        <v>356</v>
      </c>
      <c r="D256" t="s">
        <v>17</v>
      </c>
      <c r="E256" t="s">
        <v>11</v>
      </c>
      <c r="F256">
        <v>3</v>
      </c>
      <c r="G256">
        <v>1129</v>
      </c>
      <c r="H256">
        <v>3387</v>
      </c>
    </row>
    <row r="257" spans="1:8" x14ac:dyDescent="0.25">
      <c r="A257" t="s">
        <v>1364</v>
      </c>
      <c r="B257" s="1">
        <v>45227</v>
      </c>
      <c r="C257" t="s">
        <v>1144</v>
      </c>
      <c r="D257" t="s">
        <v>17</v>
      </c>
      <c r="E257" t="s">
        <v>25</v>
      </c>
      <c r="F257">
        <v>3</v>
      </c>
      <c r="G257">
        <v>1129</v>
      </c>
      <c r="H257">
        <v>3387</v>
      </c>
    </row>
    <row r="258" spans="1:8" x14ac:dyDescent="0.25">
      <c r="A258" t="s">
        <v>716</v>
      </c>
      <c r="B258" s="1">
        <v>45166</v>
      </c>
      <c r="C258" t="s">
        <v>117</v>
      </c>
      <c r="D258" t="s">
        <v>10</v>
      </c>
      <c r="E258" t="s">
        <v>25</v>
      </c>
      <c r="F258">
        <v>5</v>
      </c>
      <c r="G258">
        <v>677</v>
      </c>
      <c r="H258">
        <v>3385</v>
      </c>
    </row>
    <row r="259" spans="1:8" x14ac:dyDescent="0.25">
      <c r="A259" t="s">
        <v>395</v>
      </c>
      <c r="B259" s="1">
        <v>45537</v>
      </c>
      <c r="C259" t="s">
        <v>396</v>
      </c>
      <c r="D259" t="s">
        <v>17</v>
      </c>
      <c r="E259" t="s">
        <v>25</v>
      </c>
      <c r="F259">
        <v>4</v>
      </c>
      <c r="G259">
        <v>846</v>
      </c>
      <c r="H259">
        <v>3384</v>
      </c>
    </row>
    <row r="260" spans="1:8" x14ac:dyDescent="0.25">
      <c r="A260" t="s">
        <v>892</v>
      </c>
      <c r="B260" s="1">
        <v>45293</v>
      </c>
      <c r="C260" t="s">
        <v>494</v>
      </c>
      <c r="D260" t="s">
        <v>20</v>
      </c>
      <c r="E260" t="s">
        <v>11</v>
      </c>
      <c r="F260">
        <v>3</v>
      </c>
      <c r="G260">
        <v>1126</v>
      </c>
      <c r="H260">
        <v>3378</v>
      </c>
    </row>
    <row r="261" spans="1:8" x14ac:dyDescent="0.25">
      <c r="A261" t="s">
        <v>1291</v>
      </c>
      <c r="B261" s="1">
        <v>44946</v>
      </c>
      <c r="C261" t="s">
        <v>371</v>
      </c>
      <c r="D261" t="s">
        <v>27</v>
      </c>
      <c r="E261" t="s">
        <v>11</v>
      </c>
      <c r="F261">
        <v>3</v>
      </c>
      <c r="G261">
        <v>1125</v>
      </c>
      <c r="H261">
        <v>3375</v>
      </c>
    </row>
    <row r="262" spans="1:8" x14ac:dyDescent="0.25">
      <c r="A262" t="s">
        <v>871</v>
      </c>
      <c r="B262" s="1">
        <v>44996</v>
      </c>
      <c r="C262" t="s">
        <v>594</v>
      </c>
      <c r="D262" t="s">
        <v>27</v>
      </c>
      <c r="E262" t="s">
        <v>32</v>
      </c>
      <c r="F262">
        <v>5</v>
      </c>
      <c r="G262">
        <v>674</v>
      </c>
      <c r="H262">
        <v>3370</v>
      </c>
    </row>
    <row r="263" spans="1:8" x14ac:dyDescent="0.25">
      <c r="A263" t="s">
        <v>792</v>
      </c>
      <c r="B263" s="1">
        <v>45186</v>
      </c>
      <c r="C263" t="s">
        <v>41</v>
      </c>
      <c r="D263" t="s">
        <v>10</v>
      </c>
      <c r="E263" t="s">
        <v>25</v>
      </c>
      <c r="F263">
        <v>4</v>
      </c>
      <c r="G263">
        <v>842</v>
      </c>
      <c r="H263">
        <v>3368</v>
      </c>
    </row>
    <row r="264" spans="1:8" x14ac:dyDescent="0.25">
      <c r="A264" t="s">
        <v>1079</v>
      </c>
      <c r="B264" s="1">
        <v>45121</v>
      </c>
      <c r="C264" t="s">
        <v>80</v>
      </c>
      <c r="D264" t="s">
        <v>27</v>
      </c>
      <c r="E264" t="s">
        <v>25</v>
      </c>
      <c r="F264">
        <v>4</v>
      </c>
      <c r="G264">
        <v>842</v>
      </c>
      <c r="H264">
        <v>3368</v>
      </c>
    </row>
    <row r="265" spans="1:8" x14ac:dyDescent="0.25">
      <c r="A265" t="s">
        <v>1238</v>
      </c>
      <c r="B265" s="1">
        <v>45546</v>
      </c>
      <c r="C265" t="s">
        <v>125</v>
      </c>
      <c r="D265" t="s">
        <v>27</v>
      </c>
      <c r="E265" t="s">
        <v>35</v>
      </c>
      <c r="F265">
        <v>4</v>
      </c>
      <c r="G265">
        <v>842</v>
      </c>
      <c r="H265">
        <v>3368</v>
      </c>
    </row>
    <row r="266" spans="1:8" x14ac:dyDescent="0.25">
      <c r="A266" t="s">
        <v>821</v>
      </c>
      <c r="B266" s="1">
        <v>45027</v>
      </c>
      <c r="C266" t="s">
        <v>119</v>
      </c>
      <c r="D266" t="s">
        <v>10</v>
      </c>
      <c r="E266" t="s">
        <v>14</v>
      </c>
      <c r="F266">
        <v>3</v>
      </c>
      <c r="G266">
        <v>1122</v>
      </c>
      <c r="H266">
        <v>3366</v>
      </c>
    </row>
    <row r="267" spans="1:8" x14ac:dyDescent="0.25">
      <c r="A267" t="s">
        <v>1232</v>
      </c>
      <c r="B267" s="1">
        <v>45526</v>
      </c>
      <c r="C267" t="s">
        <v>444</v>
      </c>
      <c r="D267" t="s">
        <v>20</v>
      </c>
      <c r="E267" t="s">
        <v>14</v>
      </c>
      <c r="F267">
        <v>5</v>
      </c>
      <c r="G267">
        <v>673</v>
      </c>
      <c r="H267">
        <v>3365</v>
      </c>
    </row>
    <row r="268" spans="1:8" x14ac:dyDescent="0.25">
      <c r="A268" t="s">
        <v>599</v>
      </c>
      <c r="B268" s="1">
        <v>45143</v>
      </c>
      <c r="C268" t="s">
        <v>600</v>
      </c>
      <c r="D268" t="s">
        <v>10</v>
      </c>
      <c r="E268" t="s">
        <v>25</v>
      </c>
      <c r="F268">
        <v>4</v>
      </c>
      <c r="G268">
        <v>840</v>
      </c>
      <c r="H268">
        <v>3360</v>
      </c>
    </row>
    <row r="269" spans="1:8" x14ac:dyDescent="0.25">
      <c r="A269" t="s">
        <v>697</v>
      </c>
      <c r="B269" s="1">
        <v>45446</v>
      </c>
      <c r="C269" t="s">
        <v>698</v>
      </c>
      <c r="D269" t="s">
        <v>17</v>
      </c>
      <c r="E269" t="s">
        <v>25</v>
      </c>
      <c r="F269">
        <v>4</v>
      </c>
      <c r="G269">
        <v>840</v>
      </c>
      <c r="H269">
        <v>3360</v>
      </c>
    </row>
    <row r="270" spans="1:8" x14ac:dyDescent="0.25">
      <c r="A270" t="s">
        <v>658</v>
      </c>
      <c r="B270" s="1">
        <v>45483</v>
      </c>
      <c r="C270" t="s">
        <v>209</v>
      </c>
      <c r="D270" t="s">
        <v>27</v>
      </c>
      <c r="E270" t="s">
        <v>11</v>
      </c>
      <c r="F270">
        <v>3</v>
      </c>
      <c r="G270">
        <v>1119</v>
      </c>
      <c r="H270">
        <v>3357</v>
      </c>
    </row>
    <row r="271" spans="1:8" x14ac:dyDescent="0.25">
      <c r="A271" t="s">
        <v>321</v>
      </c>
      <c r="B271" s="1">
        <v>45495</v>
      </c>
      <c r="C271" t="s">
        <v>322</v>
      </c>
      <c r="D271" t="s">
        <v>17</v>
      </c>
      <c r="E271" t="s">
        <v>14</v>
      </c>
      <c r="F271">
        <v>3</v>
      </c>
      <c r="G271">
        <v>1118</v>
      </c>
      <c r="H271">
        <v>3354</v>
      </c>
    </row>
    <row r="272" spans="1:8" x14ac:dyDescent="0.25">
      <c r="A272" t="s">
        <v>886</v>
      </c>
      <c r="B272" s="1">
        <v>45545</v>
      </c>
      <c r="C272" t="s">
        <v>566</v>
      </c>
      <c r="D272" t="s">
        <v>27</v>
      </c>
      <c r="E272" t="s">
        <v>35</v>
      </c>
      <c r="F272">
        <v>3</v>
      </c>
      <c r="G272">
        <v>1118</v>
      </c>
      <c r="H272">
        <v>3354</v>
      </c>
    </row>
    <row r="273" spans="1:8" x14ac:dyDescent="0.25">
      <c r="A273" t="s">
        <v>83</v>
      </c>
      <c r="B273" s="1">
        <v>45089</v>
      </c>
      <c r="C273" t="s">
        <v>84</v>
      </c>
      <c r="D273" t="s">
        <v>10</v>
      </c>
      <c r="E273" t="s">
        <v>11</v>
      </c>
      <c r="F273">
        <v>3</v>
      </c>
      <c r="G273">
        <v>1116</v>
      </c>
      <c r="H273">
        <v>3348</v>
      </c>
    </row>
    <row r="274" spans="1:8" x14ac:dyDescent="0.25">
      <c r="A274" t="s">
        <v>751</v>
      </c>
      <c r="B274" s="1">
        <v>45410</v>
      </c>
      <c r="C274" t="s">
        <v>313</v>
      </c>
      <c r="D274" t="s">
        <v>17</v>
      </c>
      <c r="E274" t="s">
        <v>11</v>
      </c>
      <c r="F274">
        <v>3</v>
      </c>
      <c r="G274">
        <v>1116</v>
      </c>
      <c r="H274">
        <v>3348</v>
      </c>
    </row>
    <row r="275" spans="1:8" x14ac:dyDescent="0.25">
      <c r="A275" t="s">
        <v>1628</v>
      </c>
      <c r="B275" s="1">
        <v>45473</v>
      </c>
      <c r="C275" t="s">
        <v>984</v>
      </c>
      <c r="D275" t="s">
        <v>10</v>
      </c>
      <c r="E275" t="s">
        <v>35</v>
      </c>
      <c r="F275">
        <v>3</v>
      </c>
      <c r="G275">
        <v>1116</v>
      </c>
      <c r="H275">
        <v>3348</v>
      </c>
    </row>
    <row r="276" spans="1:8" x14ac:dyDescent="0.25">
      <c r="A276" t="s">
        <v>18</v>
      </c>
      <c r="B276" s="1">
        <v>45078</v>
      </c>
      <c r="C276" t="s">
        <v>19</v>
      </c>
      <c r="D276" t="s">
        <v>20</v>
      </c>
      <c r="E276" t="s">
        <v>11</v>
      </c>
      <c r="F276">
        <v>3</v>
      </c>
      <c r="G276">
        <v>1115</v>
      </c>
      <c r="H276">
        <v>3345</v>
      </c>
    </row>
    <row r="277" spans="1:8" x14ac:dyDescent="0.25">
      <c r="A277" t="s">
        <v>1110</v>
      </c>
      <c r="B277" s="1">
        <v>45588</v>
      </c>
      <c r="C277" t="s">
        <v>34</v>
      </c>
      <c r="D277" t="s">
        <v>27</v>
      </c>
      <c r="E277" t="s">
        <v>14</v>
      </c>
      <c r="F277">
        <v>4</v>
      </c>
      <c r="G277">
        <v>836</v>
      </c>
      <c r="H277">
        <v>3344</v>
      </c>
    </row>
    <row r="278" spans="1:8" x14ac:dyDescent="0.25">
      <c r="A278" t="s">
        <v>1371</v>
      </c>
      <c r="B278" s="1">
        <v>45341</v>
      </c>
      <c r="C278" t="s">
        <v>360</v>
      </c>
      <c r="D278" t="s">
        <v>27</v>
      </c>
      <c r="E278" t="s">
        <v>25</v>
      </c>
      <c r="F278">
        <v>4</v>
      </c>
      <c r="G278">
        <v>831</v>
      </c>
      <c r="H278">
        <v>3324</v>
      </c>
    </row>
    <row r="279" spans="1:8" x14ac:dyDescent="0.25">
      <c r="A279" t="s">
        <v>1667</v>
      </c>
      <c r="B279" s="1">
        <v>45093</v>
      </c>
      <c r="C279" t="s">
        <v>706</v>
      </c>
      <c r="D279" t="s">
        <v>10</v>
      </c>
      <c r="E279" t="s">
        <v>35</v>
      </c>
      <c r="F279">
        <v>4</v>
      </c>
      <c r="G279">
        <v>831</v>
      </c>
      <c r="H279">
        <v>3324</v>
      </c>
    </row>
    <row r="280" spans="1:8" x14ac:dyDescent="0.25">
      <c r="A280" t="s">
        <v>1716</v>
      </c>
      <c r="B280" s="1">
        <v>45590</v>
      </c>
      <c r="C280" t="s">
        <v>292</v>
      </c>
      <c r="D280" t="s">
        <v>20</v>
      </c>
      <c r="E280" t="s">
        <v>14</v>
      </c>
      <c r="F280">
        <v>5</v>
      </c>
      <c r="G280">
        <v>663</v>
      </c>
      <c r="H280">
        <v>3315</v>
      </c>
    </row>
    <row r="281" spans="1:8" x14ac:dyDescent="0.25">
      <c r="A281" t="s">
        <v>1097</v>
      </c>
      <c r="B281" s="1">
        <v>45390</v>
      </c>
      <c r="C281" t="s">
        <v>484</v>
      </c>
      <c r="D281" t="s">
        <v>10</v>
      </c>
      <c r="E281" t="s">
        <v>25</v>
      </c>
      <c r="F281">
        <v>3</v>
      </c>
      <c r="G281">
        <v>1103</v>
      </c>
      <c r="H281">
        <v>3309</v>
      </c>
    </row>
    <row r="282" spans="1:8" x14ac:dyDescent="0.25">
      <c r="A282" t="s">
        <v>1681</v>
      </c>
      <c r="B282" s="1">
        <v>45402</v>
      </c>
      <c r="C282" t="s">
        <v>984</v>
      </c>
      <c r="D282" t="s">
        <v>10</v>
      </c>
      <c r="E282" t="s">
        <v>14</v>
      </c>
      <c r="F282">
        <v>3</v>
      </c>
      <c r="G282">
        <v>1102</v>
      </c>
      <c r="H282">
        <v>3306</v>
      </c>
    </row>
    <row r="283" spans="1:8" x14ac:dyDescent="0.25">
      <c r="A283" t="s">
        <v>1423</v>
      </c>
      <c r="B283" s="1">
        <v>45391</v>
      </c>
      <c r="C283" t="s">
        <v>154</v>
      </c>
      <c r="D283" t="s">
        <v>10</v>
      </c>
      <c r="E283" t="s">
        <v>25</v>
      </c>
      <c r="F283">
        <v>4</v>
      </c>
      <c r="G283">
        <v>826</v>
      </c>
      <c r="H283">
        <v>3304</v>
      </c>
    </row>
    <row r="284" spans="1:8" x14ac:dyDescent="0.25">
      <c r="A284" t="s">
        <v>1396</v>
      </c>
      <c r="B284" s="1">
        <v>45264</v>
      </c>
      <c r="C284" t="s">
        <v>336</v>
      </c>
      <c r="D284" t="s">
        <v>20</v>
      </c>
      <c r="E284" t="s">
        <v>14</v>
      </c>
      <c r="F284">
        <v>3</v>
      </c>
      <c r="G284">
        <v>1100</v>
      </c>
      <c r="H284">
        <v>3300</v>
      </c>
    </row>
    <row r="285" spans="1:8" x14ac:dyDescent="0.25">
      <c r="A285" t="s">
        <v>1780</v>
      </c>
      <c r="B285" s="1">
        <v>45301</v>
      </c>
      <c r="C285" t="s">
        <v>766</v>
      </c>
      <c r="D285" t="s">
        <v>20</v>
      </c>
      <c r="E285" t="s">
        <v>32</v>
      </c>
      <c r="F285">
        <v>3</v>
      </c>
      <c r="G285">
        <v>1100</v>
      </c>
      <c r="H285">
        <v>3300</v>
      </c>
    </row>
    <row r="286" spans="1:8" x14ac:dyDescent="0.25">
      <c r="A286" t="s">
        <v>415</v>
      </c>
      <c r="B286" s="1">
        <v>45092</v>
      </c>
      <c r="C286" t="s">
        <v>31</v>
      </c>
      <c r="D286" t="s">
        <v>27</v>
      </c>
      <c r="E286" t="s">
        <v>25</v>
      </c>
      <c r="F286">
        <v>5</v>
      </c>
      <c r="G286">
        <v>659</v>
      </c>
      <c r="H286">
        <v>3295</v>
      </c>
    </row>
    <row r="287" spans="1:8" x14ac:dyDescent="0.25">
      <c r="A287" t="s">
        <v>524</v>
      </c>
      <c r="B287" s="1">
        <v>45218</v>
      </c>
      <c r="C287" t="s">
        <v>375</v>
      </c>
      <c r="D287" t="s">
        <v>10</v>
      </c>
      <c r="E287" t="s">
        <v>35</v>
      </c>
      <c r="F287">
        <v>5</v>
      </c>
      <c r="G287">
        <v>659</v>
      </c>
      <c r="H287">
        <v>3295</v>
      </c>
    </row>
    <row r="288" spans="1:8" x14ac:dyDescent="0.25">
      <c r="A288" t="s">
        <v>1062</v>
      </c>
      <c r="B288" s="1">
        <v>45092</v>
      </c>
      <c r="C288" t="s">
        <v>171</v>
      </c>
      <c r="D288" t="s">
        <v>20</v>
      </c>
      <c r="E288" t="s">
        <v>35</v>
      </c>
      <c r="F288">
        <v>3</v>
      </c>
      <c r="G288">
        <v>1098</v>
      </c>
      <c r="H288">
        <v>3294</v>
      </c>
    </row>
    <row r="289" spans="1:8" x14ac:dyDescent="0.25">
      <c r="A289" t="s">
        <v>1526</v>
      </c>
      <c r="B289" s="1">
        <v>45129</v>
      </c>
      <c r="C289" t="s">
        <v>90</v>
      </c>
      <c r="D289" t="s">
        <v>10</v>
      </c>
      <c r="E289" t="s">
        <v>32</v>
      </c>
      <c r="F289">
        <v>5</v>
      </c>
      <c r="G289">
        <v>658</v>
      </c>
      <c r="H289">
        <v>3290</v>
      </c>
    </row>
    <row r="290" spans="1:8" x14ac:dyDescent="0.25">
      <c r="A290" t="s">
        <v>186</v>
      </c>
      <c r="B290" s="1">
        <v>45529</v>
      </c>
      <c r="C290" t="s">
        <v>187</v>
      </c>
      <c r="D290" t="s">
        <v>17</v>
      </c>
      <c r="E290" t="s">
        <v>11</v>
      </c>
      <c r="F290">
        <v>5</v>
      </c>
      <c r="G290">
        <v>654</v>
      </c>
      <c r="H290">
        <v>3270</v>
      </c>
    </row>
    <row r="291" spans="1:8" x14ac:dyDescent="0.25">
      <c r="A291" t="s">
        <v>855</v>
      </c>
      <c r="B291" s="1">
        <v>45583</v>
      </c>
      <c r="C291" t="s">
        <v>115</v>
      </c>
      <c r="D291" t="s">
        <v>27</v>
      </c>
      <c r="E291" t="s">
        <v>35</v>
      </c>
      <c r="F291">
        <v>5</v>
      </c>
      <c r="G291">
        <v>654</v>
      </c>
      <c r="H291">
        <v>3270</v>
      </c>
    </row>
    <row r="292" spans="1:8" x14ac:dyDescent="0.25">
      <c r="A292" t="s">
        <v>679</v>
      </c>
      <c r="B292" s="1">
        <v>45410</v>
      </c>
      <c r="C292" t="s">
        <v>375</v>
      </c>
      <c r="D292" t="s">
        <v>10</v>
      </c>
      <c r="E292" t="s">
        <v>11</v>
      </c>
      <c r="F292">
        <v>4</v>
      </c>
      <c r="G292">
        <v>816</v>
      </c>
      <c r="H292">
        <v>3264</v>
      </c>
    </row>
    <row r="293" spans="1:8" x14ac:dyDescent="0.25">
      <c r="A293" t="s">
        <v>937</v>
      </c>
      <c r="B293" s="1">
        <v>45046</v>
      </c>
      <c r="C293" t="s">
        <v>938</v>
      </c>
      <c r="D293" t="s">
        <v>20</v>
      </c>
      <c r="E293" t="s">
        <v>14</v>
      </c>
      <c r="F293">
        <v>3</v>
      </c>
      <c r="G293">
        <v>1088</v>
      </c>
      <c r="H293">
        <v>3264</v>
      </c>
    </row>
    <row r="294" spans="1:8" x14ac:dyDescent="0.25">
      <c r="A294" t="s">
        <v>1576</v>
      </c>
      <c r="B294" s="1">
        <v>44994</v>
      </c>
      <c r="C294" t="s">
        <v>171</v>
      </c>
      <c r="D294" t="s">
        <v>10</v>
      </c>
      <c r="E294" t="s">
        <v>25</v>
      </c>
      <c r="F294">
        <v>4</v>
      </c>
      <c r="G294">
        <v>816</v>
      </c>
      <c r="H294">
        <v>3264</v>
      </c>
    </row>
    <row r="295" spans="1:8" x14ac:dyDescent="0.25">
      <c r="A295" t="s">
        <v>1683</v>
      </c>
      <c r="B295" s="1">
        <v>44948</v>
      </c>
      <c r="C295" t="s">
        <v>37</v>
      </c>
      <c r="D295" t="s">
        <v>20</v>
      </c>
      <c r="E295" t="s">
        <v>14</v>
      </c>
      <c r="F295">
        <v>3</v>
      </c>
      <c r="G295">
        <v>1088</v>
      </c>
      <c r="H295">
        <v>3264</v>
      </c>
    </row>
    <row r="296" spans="1:8" x14ac:dyDescent="0.25">
      <c r="A296" t="s">
        <v>1602</v>
      </c>
      <c r="B296" s="1">
        <v>45268</v>
      </c>
      <c r="C296" t="s">
        <v>1237</v>
      </c>
      <c r="D296" t="s">
        <v>20</v>
      </c>
      <c r="E296" t="s">
        <v>35</v>
      </c>
      <c r="F296">
        <v>3</v>
      </c>
      <c r="G296">
        <v>1087</v>
      </c>
      <c r="H296">
        <v>3261</v>
      </c>
    </row>
    <row r="297" spans="1:8" x14ac:dyDescent="0.25">
      <c r="A297" t="s">
        <v>422</v>
      </c>
      <c r="B297" s="1">
        <v>45528</v>
      </c>
      <c r="C297" t="s">
        <v>171</v>
      </c>
      <c r="D297" t="s">
        <v>17</v>
      </c>
      <c r="E297" t="s">
        <v>14</v>
      </c>
      <c r="F297">
        <v>4</v>
      </c>
      <c r="G297">
        <v>813</v>
      </c>
      <c r="H297">
        <v>3252</v>
      </c>
    </row>
    <row r="298" spans="1:8" x14ac:dyDescent="0.25">
      <c r="A298" t="s">
        <v>1173</v>
      </c>
      <c r="B298" s="1">
        <v>45457</v>
      </c>
      <c r="C298" t="s">
        <v>874</v>
      </c>
      <c r="D298" t="s">
        <v>20</v>
      </c>
      <c r="E298" t="s">
        <v>25</v>
      </c>
      <c r="F298">
        <v>4</v>
      </c>
      <c r="G298">
        <v>813</v>
      </c>
      <c r="H298">
        <v>3252</v>
      </c>
    </row>
    <row r="299" spans="1:8" x14ac:dyDescent="0.25">
      <c r="A299" t="s">
        <v>198</v>
      </c>
      <c r="B299" s="1">
        <v>44984</v>
      </c>
      <c r="C299" t="s">
        <v>199</v>
      </c>
      <c r="D299" t="s">
        <v>27</v>
      </c>
      <c r="E299" t="s">
        <v>35</v>
      </c>
      <c r="F299">
        <v>3</v>
      </c>
      <c r="G299">
        <v>1080</v>
      </c>
      <c r="H299">
        <v>3240</v>
      </c>
    </row>
    <row r="300" spans="1:8" x14ac:dyDescent="0.25">
      <c r="A300" t="s">
        <v>467</v>
      </c>
      <c r="B300" s="1">
        <v>44965</v>
      </c>
      <c r="C300" t="s">
        <v>468</v>
      </c>
      <c r="D300" t="s">
        <v>20</v>
      </c>
      <c r="E300" t="s">
        <v>32</v>
      </c>
      <c r="F300">
        <v>3</v>
      </c>
      <c r="G300">
        <v>1079</v>
      </c>
      <c r="H300">
        <v>3237</v>
      </c>
    </row>
    <row r="301" spans="1:8" x14ac:dyDescent="0.25">
      <c r="A301" t="s">
        <v>1007</v>
      </c>
      <c r="B301" s="1">
        <v>45469</v>
      </c>
      <c r="C301" t="s">
        <v>80</v>
      </c>
      <c r="D301" t="s">
        <v>17</v>
      </c>
      <c r="E301" t="s">
        <v>35</v>
      </c>
      <c r="F301">
        <v>3</v>
      </c>
      <c r="G301">
        <v>1079</v>
      </c>
      <c r="H301">
        <v>3237</v>
      </c>
    </row>
    <row r="302" spans="1:8" x14ac:dyDescent="0.25">
      <c r="A302" t="s">
        <v>1133</v>
      </c>
      <c r="B302" s="1">
        <v>45618</v>
      </c>
      <c r="C302" t="s">
        <v>90</v>
      </c>
      <c r="D302" t="s">
        <v>17</v>
      </c>
      <c r="E302" t="s">
        <v>14</v>
      </c>
      <c r="F302">
        <v>5</v>
      </c>
      <c r="G302">
        <v>643</v>
      </c>
      <c r="H302">
        <v>3215</v>
      </c>
    </row>
    <row r="303" spans="1:8" x14ac:dyDescent="0.25">
      <c r="A303" t="s">
        <v>366</v>
      </c>
      <c r="B303" s="1">
        <v>45032</v>
      </c>
      <c r="C303" t="s">
        <v>367</v>
      </c>
      <c r="D303" t="s">
        <v>20</v>
      </c>
      <c r="E303" t="s">
        <v>14</v>
      </c>
      <c r="F303">
        <v>3</v>
      </c>
      <c r="G303">
        <v>1068</v>
      </c>
      <c r="H303">
        <v>3204</v>
      </c>
    </row>
    <row r="304" spans="1:8" x14ac:dyDescent="0.25">
      <c r="A304" t="s">
        <v>1226</v>
      </c>
      <c r="B304" s="1">
        <v>45447</v>
      </c>
      <c r="C304" t="s">
        <v>29</v>
      </c>
      <c r="D304" t="s">
        <v>20</v>
      </c>
      <c r="E304" t="s">
        <v>11</v>
      </c>
      <c r="F304">
        <v>4</v>
      </c>
      <c r="G304">
        <v>800</v>
      </c>
      <c r="H304">
        <v>3200</v>
      </c>
    </row>
    <row r="305" spans="1:8" x14ac:dyDescent="0.25">
      <c r="A305" t="s">
        <v>559</v>
      </c>
      <c r="B305" s="1">
        <v>45484</v>
      </c>
      <c r="C305" t="s">
        <v>560</v>
      </c>
      <c r="D305" t="s">
        <v>10</v>
      </c>
      <c r="E305" t="s">
        <v>32</v>
      </c>
      <c r="F305">
        <v>4</v>
      </c>
      <c r="G305">
        <v>796</v>
      </c>
      <c r="H305">
        <v>3184</v>
      </c>
    </row>
    <row r="306" spans="1:8" x14ac:dyDescent="0.25">
      <c r="A306" t="s">
        <v>1154</v>
      </c>
      <c r="B306" s="1">
        <v>45128</v>
      </c>
      <c r="C306" t="s">
        <v>22</v>
      </c>
      <c r="D306" t="s">
        <v>10</v>
      </c>
      <c r="E306" t="s">
        <v>25</v>
      </c>
      <c r="F306">
        <v>3</v>
      </c>
      <c r="G306">
        <v>1059</v>
      </c>
      <c r="H306">
        <v>3177</v>
      </c>
    </row>
    <row r="307" spans="1:8" x14ac:dyDescent="0.25">
      <c r="A307" t="s">
        <v>861</v>
      </c>
      <c r="B307" s="1">
        <v>45366</v>
      </c>
      <c r="C307" t="s">
        <v>171</v>
      </c>
      <c r="D307" t="s">
        <v>27</v>
      </c>
      <c r="E307" t="s">
        <v>11</v>
      </c>
      <c r="F307">
        <v>5</v>
      </c>
      <c r="G307">
        <v>635</v>
      </c>
      <c r="H307">
        <v>3175</v>
      </c>
    </row>
    <row r="308" spans="1:8" x14ac:dyDescent="0.25">
      <c r="A308" t="s">
        <v>1695</v>
      </c>
      <c r="B308" s="1">
        <v>45600</v>
      </c>
      <c r="C308" t="s">
        <v>338</v>
      </c>
      <c r="D308" t="s">
        <v>20</v>
      </c>
      <c r="E308" t="s">
        <v>35</v>
      </c>
      <c r="F308">
        <v>3</v>
      </c>
      <c r="G308">
        <v>1058</v>
      </c>
      <c r="H308">
        <v>3174</v>
      </c>
    </row>
    <row r="309" spans="1:8" x14ac:dyDescent="0.25">
      <c r="A309" t="s">
        <v>46</v>
      </c>
      <c r="B309" s="1">
        <v>45177</v>
      </c>
      <c r="C309" t="s">
        <v>47</v>
      </c>
      <c r="D309" t="s">
        <v>27</v>
      </c>
      <c r="E309" t="s">
        <v>14</v>
      </c>
      <c r="F309">
        <v>4</v>
      </c>
      <c r="G309">
        <v>793</v>
      </c>
      <c r="H309">
        <v>3172</v>
      </c>
    </row>
    <row r="310" spans="1:8" x14ac:dyDescent="0.25">
      <c r="A310" t="s">
        <v>1341</v>
      </c>
      <c r="B310" s="1">
        <v>45122</v>
      </c>
      <c r="C310" t="s">
        <v>824</v>
      </c>
      <c r="D310" t="s">
        <v>10</v>
      </c>
      <c r="E310" t="s">
        <v>32</v>
      </c>
      <c r="F310">
        <v>4</v>
      </c>
      <c r="G310">
        <v>793</v>
      </c>
      <c r="H310">
        <v>3172</v>
      </c>
    </row>
    <row r="311" spans="1:8" x14ac:dyDescent="0.25">
      <c r="A311" t="s">
        <v>1428</v>
      </c>
      <c r="B311" s="1">
        <v>44970</v>
      </c>
      <c r="C311" t="s">
        <v>1357</v>
      </c>
      <c r="D311" t="s">
        <v>10</v>
      </c>
      <c r="E311" t="s">
        <v>25</v>
      </c>
      <c r="F311">
        <v>3</v>
      </c>
      <c r="G311">
        <v>1055</v>
      </c>
      <c r="H311">
        <v>3165</v>
      </c>
    </row>
    <row r="312" spans="1:8" x14ac:dyDescent="0.25">
      <c r="A312" t="s">
        <v>1475</v>
      </c>
      <c r="B312" s="1">
        <v>45267</v>
      </c>
      <c r="C312" t="s">
        <v>199</v>
      </c>
      <c r="D312" t="s">
        <v>20</v>
      </c>
      <c r="E312" t="s">
        <v>11</v>
      </c>
      <c r="F312">
        <v>5</v>
      </c>
      <c r="G312">
        <v>633</v>
      </c>
      <c r="H312">
        <v>3165</v>
      </c>
    </row>
    <row r="313" spans="1:8" x14ac:dyDescent="0.25">
      <c r="A313" t="s">
        <v>70</v>
      </c>
      <c r="B313" s="1">
        <v>45429</v>
      </c>
      <c r="C313" t="s">
        <v>71</v>
      </c>
      <c r="D313" t="s">
        <v>17</v>
      </c>
      <c r="E313" t="s">
        <v>25</v>
      </c>
      <c r="F313">
        <v>4</v>
      </c>
      <c r="G313">
        <v>791</v>
      </c>
      <c r="H313">
        <v>3164</v>
      </c>
    </row>
    <row r="314" spans="1:8" x14ac:dyDescent="0.25">
      <c r="A314" t="s">
        <v>307</v>
      </c>
      <c r="B314" s="1">
        <v>45345</v>
      </c>
      <c r="C314" t="s">
        <v>163</v>
      </c>
      <c r="D314" t="s">
        <v>20</v>
      </c>
      <c r="E314" t="s">
        <v>11</v>
      </c>
      <c r="F314">
        <v>4</v>
      </c>
      <c r="G314">
        <v>791</v>
      </c>
      <c r="H314">
        <v>3164</v>
      </c>
    </row>
    <row r="315" spans="1:8" x14ac:dyDescent="0.25">
      <c r="A315" t="s">
        <v>323</v>
      </c>
      <c r="B315" s="1">
        <v>45035</v>
      </c>
      <c r="C315" t="s">
        <v>324</v>
      </c>
      <c r="D315" t="s">
        <v>17</v>
      </c>
      <c r="E315" t="s">
        <v>25</v>
      </c>
      <c r="F315">
        <v>3</v>
      </c>
      <c r="G315">
        <v>1054</v>
      </c>
      <c r="H315">
        <v>3162</v>
      </c>
    </row>
    <row r="316" spans="1:8" x14ac:dyDescent="0.25">
      <c r="A316" t="s">
        <v>1247</v>
      </c>
      <c r="B316" s="1">
        <v>44938</v>
      </c>
      <c r="C316" t="s">
        <v>874</v>
      </c>
      <c r="D316" t="s">
        <v>10</v>
      </c>
      <c r="E316" t="s">
        <v>14</v>
      </c>
      <c r="F316">
        <v>3</v>
      </c>
      <c r="G316">
        <v>1054</v>
      </c>
      <c r="H316">
        <v>3162</v>
      </c>
    </row>
    <row r="317" spans="1:8" x14ac:dyDescent="0.25">
      <c r="A317" t="s">
        <v>629</v>
      </c>
      <c r="B317" s="1">
        <v>45037</v>
      </c>
      <c r="C317" t="s">
        <v>320</v>
      </c>
      <c r="D317" t="s">
        <v>10</v>
      </c>
      <c r="E317" t="s">
        <v>32</v>
      </c>
      <c r="F317">
        <v>4</v>
      </c>
      <c r="G317">
        <v>790</v>
      </c>
      <c r="H317">
        <v>3160</v>
      </c>
    </row>
    <row r="318" spans="1:8" x14ac:dyDescent="0.25">
      <c r="A318" t="s">
        <v>391</v>
      </c>
      <c r="B318" s="1">
        <v>45163</v>
      </c>
      <c r="C318" t="s">
        <v>261</v>
      </c>
      <c r="D318" t="s">
        <v>17</v>
      </c>
      <c r="E318" t="s">
        <v>11</v>
      </c>
      <c r="F318">
        <v>4</v>
      </c>
      <c r="G318">
        <v>789</v>
      </c>
      <c r="H318">
        <v>3156</v>
      </c>
    </row>
    <row r="319" spans="1:8" x14ac:dyDescent="0.25">
      <c r="A319" t="s">
        <v>491</v>
      </c>
      <c r="B319" s="1">
        <v>44984</v>
      </c>
      <c r="C319" t="s">
        <v>326</v>
      </c>
      <c r="D319" t="s">
        <v>20</v>
      </c>
      <c r="E319" t="s">
        <v>35</v>
      </c>
      <c r="F319">
        <v>3</v>
      </c>
      <c r="G319">
        <v>1051</v>
      </c>
      <c r="H319">
        <v>3153</v>
      </c>
    </row>
    <row r="320" spans="1:8" x14ac:dyDescent="0.25">
      <c r="A320" t="s">
        <v>734</v>
      </c>
      <c r="B320" s="1">
        <v>45012</v>
      </c>
      <c r="C320" t="s">
        <v>115</v>
      </c>
      <c r="D320" t="s">
        <v>17</v>
      </c>
      <c r="E320" t="s">
        <v>14</v>
      </c>
      <c r="F320">
        <v>5</v>
      </c>
      <c r="G320">
        <v>629</v>
      </c>
      <c r="H320">
        <v>3145</v>
      </c>
    </row>
    <row r="321" spans="1:8" x14ac:dyDescent="0.25">
      <c r="A321" t="s">
        <v>1418</v>
      </c>
      <c r="B321" s="1">
        <v>45531</v>
      </c>
      <c r="C321" t="s">
        <v>326</v>
      </c>
      <c r="D321" t="s">
        <v>10</v>
      </c>
      <c r="E321" t="s">
        <v>32</v>
      </c>
      <c r="F321">
        <v>5</v>
      </c>
      <c r="G321">
        <v>629</v>
      </c>
      <c r="H321">
        <v>3145</v>
      </c>
    </row>
    <row r="322" spans="1:8" x14ac:dyDescent="0.25">
      <c r="A322" t="s">
        <v>905</v>
      </c>
      <c r="B322" s="1">
        <v>45045</v>
      </c>
      <c r="C322" t="s">
        <v>675</v>
      </c>
      <c r="D322" t="s">
        <v>20</v>
      </c>
      <c r="E322" t="s">
        <v>14</v>
      </c>
      <c r="F322">
        <v>3</v>
      </c>
      <c r="G322">
        <v>1048</v>
      </c>
      <c r="H322">
        <v>3144</v>
      </c>
    </row>
    <row r="323" spans="1:8" x14ac:dyDescent="0.25">
      <c r="A323" t="s">
        <v>311</v>
      </c>
      <c r="B323" s="1">
        <v>45427</v>
      </c>
      <c r="C323" t="s">
        <v>115</v>
      </c>
      <c r="D323" t="s">
        <v>20</v>
      </c>
      <c r="E323" t="s">
        <v>32</v>
      </c>
      <c r="F323">
        <v>4</v>
      </c>
      <c r="G323">
        <v>785</v>
      </c>
      <c r="H323">
        <v>3140</v>
      </c>
    </row>
    <row r="324" spans="1:8" x14ac:dyDescent="0.25">
      <c r="A324" t="s">
        <v>1626</v>
      </c>
      <c r="B324" s="1">
        <v>45307</v>
      </c>
      <c r="C324" t="s">
        <v>43</v>
      </c>
      <c r="D324" t="s">
        <v>27</v>
      </c>
      <c r="E324" t="s">
        <v>14</v>
      </c>
      <c r="F324">
        <v>3</v>
      </c>
      <c r="G324">
        <v>1045</v>
      </c>
      <c r="H324">
        <v>3135</v>
      </c>
    </row>
    <row r="325" spans="1:8" x14ac:dyDescent="0.25">
      <c r="A325" t="s">
        <v>626</v>
      </c>
      <c r="B325" s="1">
        <v>45619</v>
      </c>
      <c r="C325" t="s">
        <v>384</v>
      </c>
      <c r="D325" t="s">
        <v>17</v>
      </c>
      <c r="E325" t="s">
        <v>11</v>
      </c>
      <c r="F325">
        <v>3</v>
      </c>
      <c r="G325">
        <v>1044</v>
      </c>
      <c r="H325">
        <v>3132</v>
      </c>
    </row>
    <row r="326" spans="1:8" x14ac:dyDescent="0.25">
      <c r="A326" t="s">
        <v>1424</v>
      </c>
      <c r="B326" s="1">
        <v>45147</v>
      </c>
      <c r="C326" t="s">
        <v>384</v>
      </c>
      <c r="D326" t="s">
        <v>17</v>
      </c>
      <c r="E326" t="s">
        <v>11</v>
      </c>
      <c r="F326">
        <v>5</v>
      </c>
      <c r="G326">
        <v>626</v>
      </c>
      <c r="H326">
        <v>3130</v>
      </c>
    </row>
    <row r="327" spans="1:8" x14ac:dyDescent="0.25">
      <c r="A327" t="s">
        <v>290</v>
      </c>
      <c r="B327" s="1">
        <v>45480</v>
      </c>
      <c r="C327" t="s">
        <v>266</v>
      </c>
      <c r="D327" t="s">
        <v>17</v>
      </c>
      <c r="E327" t="s">
        <v>35</v>
      </c>
      <c r="F327">
        <v>4</v>
      </c>
      <c r="G327">
        <v>780</v>
      </c>
      <c r="H327">
        <v>3120</v>
      </c>
    </row>
    <row r="328" spans="1:8" x14ac:dyDescent="0.25">
      <c r="A328" t="s">
        <v>478</v>
      </c>
      <c r="B328" s="1">
        <v>45069</v>
      </c>
      <c r="C328" t="s">
        <v>194</v>
      </c>
      <c r="D328" t="s">
        <v>20</v>
      </c>
      <c r="E328" t="s">
        <v>11</v>
      </c>
      <c r="F328">
        <v>3</v>
      </c>
      <c r="G328">
        <v>1038</v>
      </c>
      <c r="H328">
        <v>3114</v>
      </c>
    </row>
    <row r="329" spans="1:8" x14ac:dyDescent="0.25">
      <c r="A329" t="s">
        <v>1697</v>
      </c>
      <c r="B329" s="1">
        <v>45178</v>
      </c>
      <c r="C329" t="s">
        <v>171</v>
      </c>
      <c r="D329" t="s">
        <v>27</v>
      </c>
      <c r="E329" t="s">
        <v>35</v>
      </c>
      <c r="F329">
        <v>3</v>
      </c>
      <c r="G329">
        <v>1038</v>
      </c>
      <c r="H329">
        <v>3114</v>
      </c>
    </row>
    <row r="330" spans="1:8" x14ac:dyDescent="0.25">
      <c r="A330" t="s">
        <v>259</v>
      </c>
      <c r="B330" s="1">
        <v>45251</v>
      </c>
      <c r="C330" t="s">
        <v>171</v>
      </c>
      <c r="D330" t="s">
        <v>20</v>
      </c>
      <c r="E330" t="s">
        <v>25</v>
      </c>
      <c r="F330">
        <v>4</v>
      </c>
      <c r="G330">
        <v>777</v>
      </c>
      <c r="H330">
        <v>3108</v>
      </c>
    </row>
    <row r="331" spans="1:8" x14ac:dyDescent="0.25">
      <c r="A331" t="s">
        <v>1618</v>
      </c>
      <c r="B331" s="1">
        <v>45260</v>
      </c>
      <c r="C331" t="s">
        <v>1395</v>
      </c>
      <c r="D331" t="s">
        <v>10</v>
      </c>
      <c r="E331" t="s">
        <v>25</v>
      </c>
      <c r="F331">
        <v>3</v>
      </c>
      <c r="G331">
        <v>1033</v>
      </c>
      <c r="H331">
        <v>3099</v>
      </c>
    </row>
    <row r="332" spans="1:8" x14ac:dyDescent="0.25">
      <c r="A332" t="s">
        <v>844</v>
      </c>
      <c r="B332" s="1">
        <v>45105</v>
      </c>
      <c r="C332" t="s">
        <v>152</v>
      </c>
      <c r="D332" t="s">
        <v>20</v>
      </c>
      <c r="E332" t="s">
        <v>11</v>
      </c>
      <c r="F332">
        <v>3</v>
      </c>
      <c r="G332">
        <v>1032</v>
      </c>
      <c r="H332">
        <v>3096</v>
      </c>
    </row>
    <row r="333" spans="1:8" x14ac:dyDescent="0.25">
      <c r="A333" t="s">
        <v>1712</v>
      </c>
      <c r="B333" s="1">
        <v>45003</v>
      </c>
      <c r="C333" t="s">
        <v>938</v>
      </c>
      <c r="D333" t="s">
        <v>20</v>
      </c>
      <c r="E333" t="s">
        <v>14</v>
      </c>
      <c r="F333">
        <v>4</v>
      </c>
      <c r="G333">
        <v>774</v>
      </c>
      <c r="H333">
        <v>3096</v>
      </c>
    </row>
    <row r="334" spans="1:8" x14ac:dyDescent="0.25">
      <c r="A334" t="s">
        <v>1756</v>
      </c>
      <c r="B334" s="1">
        <v>45031</v>
      </c>
      <c r="C334" t="s">
        <v>34</v>
      </c>
      <c r="D334" t="s">
        <v>10</v>
      </c>
      <c r="E334" t="s">
        <v>35</v>
      </c>
      <c r="F334">
        <v>5</v>
      </c>
      <c r="G334">
        <v>619</v>
      </c>
      <c r="H334">
        <v>3095</v>
      </c>
    </row>
    <row r="335" spans="1:8" x14ac:dyDescent="0.25">
      <c r="A335" t="s">
        <v>982</v>
      </c>
      <c r="B335" s="1">
        <v>45063</v>
      </c>
      <c r="C335" t="s">
        <v>449</v>
      </c>
      <c r="D335" t="s">
        <v>20</v>
      </c>
      <c r="E335" t="s">
        <v>32</v>
      </c>
      <c r="F335">
        <v>4</v>
      </c>
      <c r="G335">
        <v>773</v>
      </c>
      <c r="H335">
        <v>3092</v>
      </c>
    </row>
    <row r="336" spans="1:8" x14ac:dyDescent="0.25">
      <c r="A336" t="s">
        <v>512</v>
      </c>
      <c r="B336" s="1">
        <v>45275</v>
      </c>
      <c r="C336" t="s">
        <v>354</v>
      </c>
      <c r="D336" t="s">
        <v>10</v>
      </c>
      <c r="E336" t="s">
        <v>11</v>
      </c>
      <c r="F336">
        <v>5</v>
      </c>
      <c r="G336">
        <v>615</v>
      </c>
      <c r="H336">
        <v>3075</v>
      </c>
    </row>
    <row r="337" spans="1:8" x14ac:dyDescent="0.25">
      <c r="A337" t="s">
        <v>546</v>
      </c>
      <c r="B337" s="1">
        <v>45277</v>
      </c>
      <c r="C337" t="s">
        <v>547</v>
      </c>
      <c r="D337" t="s">
        <v>17</v>
      </c>
      <c r="E337" t="s">
        <v>25</v>
      </c>
      <c r="F337">
        <v>4</v>
      </c>
      <c r="G337">
        <v>768</v>
      </c>
      <c r="H337">
        <v>3072</v>
      </c>
    </row>
    <row r="338" spans="1:8" x14ac:dyDescent="0.25">
      <c r="A338" t="s">
        <v>1786</v>
      </c>
      <c r="B338" s="1">
        <v>45103</v>
      </c>
      <c r="C338" t="s">
        <v>228</v>
      </c>
      <c r="D338" t="s">
        <v>27</v>
      </c>
      <c r="E338" t="s">
        <v>35</v>
      </c>
      <c r="F338">
        <v>3</v>
      </c>
      <c r="G338">
        <v>1024</v>
      </c>
      <c r="H338">
        <v>3072</v>
      </c>
    </row>
    <row r="339" spans="1:8" x14ac:dyDescent="0.25">
      <c r="A339" t="s">
        <v>1515</v>
      </c>
      <c r="B339" s="1">
        <v>45207</v>
      </c>
      <c r="C339" t="s">
        <v>499</v>
      </c>
      <c r="D339" t="s">
        <v>17</v>
      </c>
      <c r="E339" t="s">
        <v>25</v>
      </c>
      <c r="F339">
        <v>5</v>
      </c>
      <c r="G339">
        <v>614</v>
      </c>
      <c r="H339">
        <v>3070</v>
      </c>
    </row>
    <row r="340" spans="1:8" x14ac:dyDescent="0.25">
      <c r="A340" t="s">
        <v>561</v>
      </c>
      <c r="B340" s="1">
        <v>45533</v>
      </c>
      <c r="C340" t="s">
        <v>562</v>
      </c>
      <c r="D340" t="s">
        <v>17</v>
      </c>
      <c r="E340" t="s">
        <v>35</v>
      </c>
      <c r="F340">
        <v>4</v>
      </c>
      <c r="G340">
        <v>767</v>
      </c>
      <c r="H340">
        <v>3068</v>
      </c>
    </row>
    <row r="341" spans="1:8" x14ac:dyDescent="0.25">
      <c r="A341" t="s">
        <v>101</v>
      </c>
      <c r="B341" s="1">
        <v>45253</v>
      </c>
      <c r="C341" t="s">
        <v>102</v>
      </c>
      <c r="D341" t="s">
        <v>27</v>
      </c>
      <c r="E341" t="s">
        <v>25</v>
      </c>
      <c r="F341">
        <v>4</v>
      </c>
      <c r="G341">
        <v>766</v>
      </c>
      <c r="H341">
        <v>3064</v>
      </c>
    </row>
    <row r="342" spans="1:8" x14ac:dyDescent="0.25">
      <c r="A342" t="s">
        <v>472</v>
      </c>
      <c r="B342" s="1">
        <v>45142</v>
      </c>
      <c r="C342" t="s">
        <v>473</v>
      </c>
      <c r="D342" t="s">
        <v>17</v>
      </c>
      <c r="E342" t="s">
        <v>25</v>
      </c>
      <c r="F342">
        <v>3</v>
      </c>
      <c r="G342">
        <v>1015</v>
      </c>
      <c r="H342">
        <v>3045</v>
      </c>
    </row>
    <row r="343" spans="1:8" x14ac:dyDescent="0.25">
      <c r="A343" t="s">
        <v>1703</v>
      </c>
      <c r="B343" s="1">
        <v>45264</v>
      </c>
      <c r="C343" t="s">
        <v>49</v>
      </c>
      <c r="D343" t="s">
        <v>20</v>
      </c>
      <c r="E343" t="s">
        <v>25</v>
      </c>
      <c r="F343">
        <v>3</v>
      </c>
      <c r="G343">
        <v>1015</v>
      </c>
      <c r="H343">
        <v>3045</v>
      </c>
    </row>
    <row r="344" spans="1:8" x14ac:dyDescent="0.25">
      <c r="A344" t="s">
        <v>1372</v>
      </c>
      <c r="B344" s="1">
        <v>45475</v>
      </c>
      <c r="C344" t="s">
        <v>286</v>
      </c>
      <c r="D344" t="s">
        <v>10</v>
      </c>
      <c r="E344" t="s">
        <v>32</v>
      </c>
      <c r="F344">
        <v>3</v>
      </c>
      <c r="G344">
        <v>1014</v>
      </c>
      <c r="H344">
        <v>3042</v>
      </c>
    </row>
    <row r="345" spans="1:8" x14ac:dyDescent="0.25">
      <c r="A345" t="s">
        <v>274</v>
      </c>
      <c r="B345" s="1">
        <v>45422</v>
      </c>
      <c r="C345" t="s">
        <v>136</v>
      </c>
      <c r="D345" t="s">
        <v>27</v>
      </c>
      <c r="E345" t="s">
        <v>35</v>
      </c>
      <c r="F345">
        <v>3</v>
      </c>
      <c r="G345">
        <v>1007</v>
      </c>
      <c r="H345">
        <v>3021</v>
      </c>
    </row>
    <row r="346" spans="1:8" x14ac:dyDescent="0.25">
      <c r="A346" t="s">
        <v>740</v>
      </c>
      <c r="B346" s="1">
        <v>44971</v>
      </c>
      <c r="C346" t="s">
        <v>547</v>
      </c>
      <c r="D346" t="s">
        <v>27</v>
      </c>
      <c r="E346" t="s">
        <v>11</v>
      </c>
      <c r="F346">
        <v>5</v>
      </c>
      <c r="G346">
        <v>603</v>
      </c>
      <c r="H346">
        <v>3015</v>
      </c>
    </row>
    <row r="347" spans="1:8" x14ac:dyDescent="0.25">
      <c r="A347" t="s">
        <v>1166</v>
      </c>
      <c r="B347" s="1">
        <v>45131</v>
      </c>
      <c r="C347" t="s">
        <v>80</v>
      </c>
      <c r="D347" t="s">
        <v>20</v>
      </c>
      <c r="E347" t="s">
        <v>11</v>
      </c>
      <c r="F347">
        <v>4</v>
      </c>
      <c r="G347">
        <v>753</v>
      </c>
      <c r="H347">
        <v>3012</v>
      </c>
    </row>
    <row r="348" spans="1:8" x14ac:dyDescent="0.25">
      <c r="A348" t="s">
        <v>940</v>
      </c>
      <c r="B348" s="1">
        <v>45411</v>
      </c>
      <c r="C348" t="s">
        <v>836</v>
      </c>
      <c r="D348" t="s">
        <v>27</v>
      </c>
      <c r="E348" t="s">
        <v>14</v>
      </c>
      <c r="F348">
        <v>3</v>
      </c>
      <c r="G348">
        <v>1001</v>
      </c>
      <c r="H348">
        <v>3003</v>
      </c>
    </row>
    <row r="349" spans="1:8" x14ac:dyDescent="0.25">
      <c r="A349" t="s">
        <v>1002</v>
      </c>
      <c r="B349" s="1">
        <v>45030</v>
      </c>
      <c r="C349" t="s">
        <v>156</v>
      </c>
      <c r="D349" t="s">
        <v>27</v>
      </c>
      <c r="E349" t="s">
        <v>25</v>
      </c>
      <c r="F349">
        <v>5</v>
      </c>
      <c r="G349">
        <v>599</v>
      </c>
      <c r="H349">
        <v>2995</v>
      </c>
    </row>
    <row r="350" spans="1:8" x14ac:dyDescent="0.25">
      <c r="A350" t="s">
        <v>1379</v>
      </c>
      <c r="B350" s="1">
        <v>45139</v>
      </c>
      <c r="C350" t="s">
        <v>356</v>
      </c>
      <c r="D350" t="s">
        <v>20</v>
      </c>
      <c r="E350" t="s">
        <v>32</v>
      </c>
      <c r="F350">
        <v>3</v>
      </c>
      <c r="G350">
        <v>998</v>
      </c>
      <c r="H350">
        <v>2994</v>
      </c>
    </row>
    <row r="351" spans="1:8" x14ac:dyDescent="0.25">
      <c r="A351" t="s">
        <v>1029</v>
      </c>
      <c r="B351" s="1">
        <v>45357</v>
      </c>
      <c r="C351" t="s">
        <v>644</v>
      </c>
      <c r="D351" t="s">
        <v>27</v>
      </c>
      <c r="E351" t="s">
        <v>11</v>
      </c>
      <c r="F351">
        <v>5</v>
      </c>
      <c r="G351">
        <v>598</v>
      </c>
      <c r="H351">
        <v>2990</v>
      </c>
    </row>
    <row r="352" spans="1:8" x14ac:dyDescent="0.25">
      <c r="A352" t="s">
        <v>400</v>
      </c>
      <c r="B352" s="1">
        <v>45275</v>
      </c>
      <c r="C352" t="s">
        <v>401</v>
      </c>
      <c r="D352" t="s">
        <v>10</v>
      </c>
      <c r="E352" t="s">
        <v>35</v>
      </c>
      <c r="F352">
        <v>3</v>
      </c>
      <c r="G352">
        <v>992</v>
      </c>
      <c r="H352">
        <v>2976</v>
      </c>
    </row>
    <row r="353" spans="1:8" x14ac:dyDescent="0.25">
      <c r="A353" t="s">
        <v>703</v>
      </c>
      <c r="B353" s="1">
        <v>45333</v>
      </c>
      <c r="C353" t="s">
        <v>704</v>
      </c>
      <c r="D353" t="s">
        <v>20</v>
      </c>
      <c r="E353" t="s">
        <v>35</v>
      </c>
      <c r="F353">
        <v>3</v>
      </c>
      <c r="G353">
        <v>991</v>
      </c>
      <c r="H353">
        <v>2973</v>
      </c>
    </row>
    <row r="354" spans="1:8" x14ac:dyDescent="0.25">
      <c r="A354" t="s">
        <v>1336</v>
      </c>
      <c r="B354" s="1">
        <v>45533</v>
      </c>
      <c r="C354" t="s">
        <v>413</v>
      </c>
      <c r="D354" t="s">
        <v>27</v>
      </c>
      <c r="E354" t="s">
        <v>32</v>
      </c>
      <c r="F354">
        <v>4</v>
      </c>
      <c r="G354">
        <v>742</v>
      </c>
      <c r="H354">
        <v>2968</v>
      </c>
    </row>
    <row r="355" spans="1:8" x14ac:dyDescent="0.25">
      <c r="A355" t="s">
        <v>288</v>
      </c>
      <c r="B355" s="1">
        <v>45510</v>
      </c>
      <c r="C355" t="s">
        <v>289</v>
      </c>
      <c r="D355" t="s">
        <v>20</v>
      </c>
      <c r="E355" t="s">
        <v>14</v>
      </c>
      <c r="F355">
        <v>4</v>
      </c>
      <c r="G355">
        <v>741</v>
      </c>
      <c r="H355">
        <v>2964</v>
      </c>
    </row>
    <row r="356" spans="1:8" x14ac:dyDescent="0.25">
      <c r="A356" t="s">
        <v>1221</v>
      </c>
      <c r="B356" s="1">
        <v>45508</v>
      </c>
      <c r="C356" t="s">
        <v>29</v>
      </c>
      <c r="D356" t="s">
        <v>20</v>
      </c>
      <c r="E356" t="s">
        <v>14</v>
      </c>
      <c r="F356">
        <v>3</v>
      </c>
      <c r="G356">
        <v>988</v>
      </c>
      <c r="H356">
        <v>2964</v>
      </c>
    </row>
    <row r="357" spans="1:8" x14ac:dyDescent="0.25">
      <c r="A357" t="s">
        <v>1127</v>
      </c>
      <c r="B357" s="1">
        <v>45525</v>
      </c>
      <c r="C357" t="s">
        <v>427</v>
      </c>
      <c r="D357" t="s">
        <v>17</v>
      </c>
      <c r="E357" t="s">
        <v>25</v>
      </c>
      <c r="F357">
        <v>3</v>
      </c>
      <c r="G357">
        <v>987</v>
      </c>
      <c r="H357">
        <v>2961</v>
      </c>
    </row>
    <row r="358" spans="1:8" x14ac:dyDescent="0.25">
      <c r="A358" t="s">
        <v>654</v>
      </c>
      <c r="B358" s="1">
        <v>44950</v>
      </c>
      <c r="C358" t="s">
        <v>24</v>
      </c>
      <c r="D358" t="s">
        <v>27</v>
      </c>
      <c r="E358" t="s">
        <v>35</v>
      </c>
      <c r="F358">
        <v>3</v>
      </c>
      <c r="G358">
        <v>986</v>
      </c>
      <c r="H358">
        <v>2958</v>
      </c>
    </row>
    <row r="359" spans="1:8" x14ac:dyDescent="0.25">
      <c r="A359" t="s">
        <v>1106</v>
      </c>
      <c r="B359" s="1">
        <v>45373</v>
      </c>
      <c r="C359" t="s">
        <v>63</v>
      </c>
      <c r="D359" t="s">
        <v>27</v>
      </c>
      <c r="E359" t="s">
        <v>14</v>
      </c>
      <c r="F359">
        <v>3</v>
      </c>
      <c r="G359">
        <v>986</v>
      </c>
      <c r="H359">
        <v>2958</v>
      </c>
    </row>
    <row r="360" spans="1:8" x14ac:dyDescent="0.25">
      <c r="A360" t="s">
        <v>1585</v>
      </c>
      <c r="B360" s="1">
        <v>45355</v>
      </c>
      <c r="C360" t="s">
        <v>306</v>
      </c>
      <c r="D360" t="s">
        <v>17</v>
      </c>
      <c r="E360" t="s">
        <v>14</v>
      </c>
      <c r="F360">
        <v>5</v>
      </c>
      <c r="G360">
        <v>591</v>
      </c>
      <c r="H360">
        <v>2955</v>
      </c>
    </row>
    <row r="361" spans="1:8" x14ac:dyDescent="0.25">
      <c r="A361" t="s">
        <v>1590</v>
      </c>
      <c r="B361" s="1">
        <v>45125</v>
      </c>
      <c r="C361" t="s">
        <v>1000</v>
      </c>
      <c r="D361" t="s">
        <v>20</v>
      </c>
      <c r="E361" t="s">
        <v>32</v>
      </c>
      <c r="F361">
        <v>5</v>
      </c>
      <c r="G361">
        <v>591</v>
      </c>
      <c r="H361">
        <v>2955</v>
      </c>
    </row>
    <row r="362" spans="1:8" x14ac:dyDescent="0.25">
      <c r="A362" t="s">
        <v>1195</v>
      </c>
      <c r="B362" s="1">
        <v>45254</v>
      </c>
      <c r="C362" t="s">
        <v>53</v>
      </c>
      <c r="D362" t="s">
        <v>17</v>
      </c>
      <c r="E362" t="s">
        <v>35</v>
      </c>
      <c r="F362">
        <v>3</v>
      </c>
      <c r="G362">
        <v>983</v>
      </c>
      <c r="H362">
        <v>2949</v>
      </c>
    </row>
    <row r="363" spans="1:8" x14ac:dyDescent="0.25">
      <c r="A363" t="s">
        <v>1323</v>
      </c>
      <c r="B363" s="1">
        <v>45581</v>
      </c>
      <c r="C363" t="s">
        <v>795</v>
      </c>
      <c r="D363" t="s">
        <v>20</v>
      </c>
      <c r="E363" t="s">
        <v>25</v>
      </c>
      <c r="F363">
        <v>4</v>
      </c>
      <c r="G363">
        <v>737</v>
      </c>
      <c r="H363">
        <v>2948</v>
      </c>
    </row>
    <row r="364" spans="1:8" x14ac:dyDescent="0.25">
      <c r="A364" t="s">
        <v>1543</v>
      </c>
      <c r="B364" s="1">
        <v>45082</v>
      </c>
      <c r="C364" t="s">
        <v>226</v>
      </c>
      <c r="D364" t="s">
        <v>27</v>
      </c>
      <c r="E364" t="s">
        <v>11</v>
      </c>
      <c r="F364">
        <v>5</v>
      </c>
      <c r="G364">
        <v>588</v>
      </c>
      <c r="H364">
        <v>2940</v>
      </c>
    </row>
    <row r="365" spans="1:8" x14ac:dyDescent="0.25">
      <c r="A365" t="s">
        <v>1777</v>
      </c>
      <c r="B365" s="1">
        <v>45092</v>
      </c>
      <c r="C365" t="s">
        <v>161</v>
      </c>
      <c r="D365" t="s">
        <v>17</v>
      </c>
      <c r="E365" t="s">
        <v>35</v>
      </c>
      <c r="F365">
        <v>4</v>
      </c>
      <c r="G365">
        <v>734</v>
      </c>
      <c r="H365">
        <v>2936</v>
      </c>
    </row>
    <row r="366" spans="1:8" x14ac:dyDescent="0.25">
      <c r="A366" t="s">
        <v>1804</v>
      </c>
      <c r="B366" s="1">
        <v>45573</v>
      </c>
      <c r="C366" t="s">
        <v>360</v>
      </c>
      <c r="D366" t="s">
        <v>20</v>
      </c>
      <c r="E366" t="s">
        <v>14</v>
      </c>
      <c r="F366">
        <v>4</v>
      </c>
      <c r="G366">
        <v>734</v>
      </c>
      <c r="H366">
        <v>2936</v>
      </c>
    </row>
    <row r="367" spans="1:8" x14ac:dyDescent="0.25">
      <c r="A367" t="s">
        <v>424</v>
      </c>
      <c r="B367" s="1">
        <v>45163</v>
      </c>
      <c r="C367" t="s">
        <v>425</v>
      </c>
      <c r="D367" t="s">
        <v>10</v>
      </c>
      <c r="E367" t="s">
        <v>32</v>
      </c>
      <c r="F367">
        <v>5</v>
      </c>
      <c r="G367">
        <v>587</v>
      </c>
      <c r="H367">
        <v>2935</v>
      </c>
    </row>
    <row r="368" spans="1:8" x14ac:dyDescent="0.25">
      <c r="A368" t="s">
        <v>1365</v>
      </c>
      <c r="B368" s="1">
        <v>45165</v>
      </c>
      <c r="C368" t="s">
        <v>22</v>
      </c>
      <c r="D368" t="s">
        <v>20</v>
      </c>
      <c r="E368" t="s">
        <v>25</v>
      </c>
      <c r="F368">
        <v>3</v>
      </c>
      <c r="G368">
        <v>975</v>
      </c>
      <c r="H368">
        <v>2925</v>
      </c>
    </row>
    <row r="369" spans="1:8" x14ac:dyDescent="0.25">
      <c r="A369" t="s">
        <v>1501</v>
      </c>
      <c r="B369" s="1">
        <v>45360</v>
      </c>
      <c r="C369" t="s">
        <v>315</v>
      </c>
      <c r="D369" t="s">
        <v>27</v>
      </c>
      <c r="E369" t="s">
        <v>32</v>
      </c>
      <c r="F369">
        <v>3</v>
      </c>
      <c r="G369">
        <v>967</v>
      </c>
      <c r="H369">
        <v>2901</v>
      </c>
    </row>
    <row r="370" spans="1:8" x14ac:dyDescent="0.25">
      <c r="A370" t="s">
        <v>1017</v>
      </c>
      <c r="B370" s="1">
        <v>45560</v>
      </c>
      <c r="C370" t="s">
        <v>282</v>
      </c>
      <c r="D370" t="s">
        <v>20</v>
      </c>
      <c r="E370" t="s">
        <v>32</v>
      </c>
      <c r="F370">
        <v>4</v>
      </c>
      <c r="G370">
        <v>725</v>
      </c>
      <c r="H370">
        <v>2900</v>
      </c>
    </row>
    <row r="371" spans="1:8" x14ac:dyDescent="0.25">
      <c r="A371" t="s">
        <v>1337</v>
      </c>
      <c r="B371" s="1">
        <v>45595</v>
      </c>
      <c r="C371" t="s">
        <v>136</v>
      </c>
      <c r="D371" t="s">
        <v>10</v>
      </c>
      <c r="E371" t="s">
        <v>14</v>
      </c>
      <c r="F371">
        <v>3</v>
      </c>
      <c r="G371">
        <v>965</v>
      </c>
      <c r="H371">
        <v>2895</v>
      </c>
    </row>
    <row r="372" spans="1:8" x14ac:dyDescent="0.25">
      <c r="A372" t="s">
        <v>1126</v>
      </c>
      <c r="B372" s="1">
        <v>45213</v>
      </c>
      <c r="C372" t="s">
        <v>695</v>
      </c>
      <c r="D372" t="s">
        <v>17</v>
      </c>
      <c r="E372" t="s">
        <v>14</v>
      </c>
      <c r="F372">
        <v>5</v>
      </c>
      <c r="G372">
        <v>577</v>
      </c>
      <c r="H372">
        <v>2885</v>
      </c>
    </row>
    <row r="373" spans="1:8" x14ac:dyDescent="0.25">
      <c r="A373" t="s">
        <v>634</v>
      </c>
      <c r="B373" s="1">
        <v>45166</v>
      </c>
      <c r="C373" t="s">
        <v>384</v>
      </c>
      <c r="D373" t="s">
        <v>10</v>
      </c>
      <c r="E373" t="s">
        <v>11</v>
      </c>
      <c r="F373">
        <v>5</v>
      </c>
      <c r="G373">
        <v>576</v>
      </c>
      <c r="H373">
        <v>2880</v>
      </c>
    </row>
    <row r="374" spans="1:8" x14ac:dyDescent="0.25">
      <c r="A374" t="s">
        <v>1306</v>
      </c>
      <c r="B374" s="1">
        <v>45059</v>
      </c>
      <c r="C374" t="s">
        <v>94</v>
      </c>
      <c r="D374" t="s">
        <v>10</v>
      </c>
      <c r="E374" t="s">
        <v>32</v>
      </c>
      <c r="F374">
        <v>3</v>
      </c>
      <c r="G374">
        <v>959</v>
      </c>
      <c r="H374">
        <v>2877</v>
      </c>
    </row>
    <row r="375" spans="1:8" x14ac:dyDescent="0.25">
      <c r="A375" t="s">
        <v>465</v>
      </c>
      <c r="B375" s="1">
        <v>45411</v>
      </c>
      <c r="C375" t="s">
        <v>352</v>
      </c>
      <c r="D375" t="s">
        <v>27</v>
      </c>
      <c r="E375" t="s">
        <v>14</v>
      </c>
      <c r="F375">
        <v>4</v>
      </c>
      <c r="G375">
        <v>719</v>
      </c>
      <c r="H375">
        <v>2876</v>
      </c>
    </row>
    <row r="376" spans="1:8" x14ac:dyDescent="0.25">
      <c r="A376" t="s">
        <v>1143</v>
      </c>
      <c r="B376" s="1">
        <v>45559</v>
      </c>
      <c r="C376" t="s">
        <v>1144</v>
      </c>
      <c r="D376" t="s">
        <v>20</v>
      </c>
      <c r="E376" t="s">
        <v>14</v>
      </c>
      <c r="F376">
        <v>5</v>
      </c>
      <c r="G376">
        <v>575</v>
      </c>
      <c r="H376">
        <v>2875</v>
      </c>
    </row>
    <row r="377" spans="1:8" x14ac:dyDescent="0.25">
      <c r="A377" t="s">
        <v>1266</v>
      </c>
      <c r="B377" s="1">
        <v>45055</v>
      </c>
      <c r="C377" t="s">
        <v>685</v>
      </c>
      <c r="D377" t="s">
        <v>17</v>
      </c>
      <c r="E377" t="s">
        <v>35</v>
      </c>
      <c r="F377">
        <v>4</v>
      </c>
      <c r="G377">
        <v>717</v>
      </c>
      <c r="H377">
        <v>2868</v>
      </c>
    </row>
    <row r="378" spans="1:8" x14ac:dyDescent="0.25">
      <c r="A378" t="s">
        <v>791</v>
      </c>
      <c r="B378" s="1">
        <v>45130</v>
      </c>
      <c r="C378" t="s">
        <v>45</v>
      </c>
      <c r="D378" t="s">
        <v>10</v>
      </c>
      <c r="E378" t="s">
        <v>35</v>
      </c>
      <c r="F378">
        <v>5</v>
      </c>
      <c r="G378">
        <v>573</v>
      </c>
      <c r="H378">
        <v>2865</v>
      </c>
    </row>
    <row r="379" spans="1:8" x14ac:dyDescent="0.25">
      <c r="A379" t="s">
        <v>97</v>
      </c>
      <c r="B379" s="1">
        <v>45121</v>
      </c>
      <c r="C379" t="s">
        <v>98</v>
      </c>
      <c r="D379" t="s">
        <v>10</v>
      </c>
      <c r="E379" t="s">
        <v>11</v>
      </c>
      <c r="F379">
        <v>3</v>
      </c>
      <c r="G379">
        <v>953</v>
      </c>
      <c r="H379">
        <v>2859</v>
      </c>
    </row>
    <row r="380" spans="1:8" x14ac:dyDescent="0.25">
      <c r="A380" t="s">
        <v>1236</v>
      </c>
      <c r="B380" s="1">
        <v>45340</v>
      </c>
      <c r="C380" t="s">
        <v>1237</v>
      </c>
      <c r="D380" t="s">
        <v>27</v>
      </c>
      <c r="E380" t="s">
        <v>11</v>
      </c>
      <c r="F380">
        <v>3</v>
      </c>
      <c r="G380">
        <v>951</v>
      </c>
      <c r="H380">
        <v>2853</v>
      </c>
    </row>
    <row r="381" spans="1:8" x14ac:dyDescent="0.25">
      <c r="A381" t="s">
        <v>1272</v>
      </c>
      <c r="B381" s="1">
        <v>45544</v>
      </c>
      <c r="C381" t="s">
        <v>194</v>
      </c>
      <c r="D381" t="s">
        <v>27</v>
      </c>
      <c r="E381" t="s">
        <v>25</v>
      </c>
      <c r="F381">
        <v>4</v>
      </c>
      <c r="G381">
        <v>712</v>
      </c>
      <c r="H381">
        <v>2848</v>
      </c>
    </row>
    <row r="382" spans="1:8" x14ac:dyDescent="0.25">
      <c r="A382" t="s">
        <v>1282</v>
      </c>
      <c r="B382" s="1">
        <v>45304</v>
      </c>
      <c r="C382" t="s">
        <v>31</v>
      </c>
      <c r="D382" t="s">
        <v>10</v>
      </c>
      <c r="E382" t="s">
        <v>14</v>
      </c>
      <c r="F382">
        <v>3</v>
      </c>
      <c r="G382">
        <v>949</v>
      </c>
      <c r="H382">
        <v>2847</v>
      </c>
    </row>
    <row r="383" spans="1:8" x14ac:dyDescent="0.25">
      <c r="A383" t="s">
        <v>947</v>
      </c>
      <c r="B383" s="1">
        <v>45393</v>
      </c>
      <c r="C383" t="s">
        <v>429</v>
      </c>
      <c r="D383" t="s">
        <v>27</v>
      </c>
      <c r="E383" t="s">
        <v>14</v>
      </c>
      <c r="F383">
        <v>4</v>
      </c>
      <c r="G383">
        <v>710</v>
      </c>
      <c r="H383">
        <v>2840</v>
      </c>
    </row>
    <row r="384" spans="1:8" x14ac:dyDescent="0.25">
      <c r="A384" t="s">
        <v>1362</v>
      </c>
      <c r="B384" s="1">
        <v>45174</v>
      </c>
      <c r="C384" t="s">
        <v>51</v>
      </c>
      <c r="D384" t="s">
        <v>10</v>
      </c>
      <c r="E384" t="s">
        <v>35</v>
      </c>
      <c r="F384">
        <v>4</v>
      </c>
      <c r="G384">
        <v>709</v>
      </c>
      <c r="H384">
        <v>2836</v>
      </c>
    </row>
    <row r="385" spans="1:8" x14ac:dyDescent="0.25">
      <c r="A385" t="s">
        <v>1763</v>
      </c>
      <c r="B385" s="1">
        <v>44929</v>
      </c>
      <c r="C385" t="s">
        <v>130</v>
      </c>
      <c r="D385" t="s">
        <v>27</v>
      </c>
      <c r="E385" t="s">
        <v>35</v>
      </c>
      <c r="F385">
        <v>4</v>
      </c>
      <c r="G385">
        <v>708</v>
      </c>
      <c r="H385">
        <v>2832</v>
      </c>
    </row>
    <row r="386" spans="1:8" x14ac:dyDescent="0.25">
      <c r="A386" t="s">
        <v>981</v>
      </c>
      <c r="B386" s="1">
        <v>45265</v>
      </c>
      <c r="C386" t="s">
        <v>197</v>
      </c>
      <c r="D386" t="s">
        <v>10</v>
      </c>
      <c r="E386" t="s">
        <v>25</v>
      </c>
      <c r="F386">
        <v>5</v>
      </c>
      <c r="G386">
        <v>564</v>
      </c>
      <c r="H386">
        <v>2820</v>
      </c>
    </row>
    <row r="387" spans="1:8" x14ac:dyDescent="0.25">
      <c r="A387" t="s">
        <v>875</v>
      </c>
      <c r="B387" s="1">
        <v>45014</v>
      </c>
      <c r="C387" t="s">
        <v>698</v>
      </c>
      <c r="D387" t="s">
        <v>10</v>
      </c>
      <c r="E387" t="s">
        <v>14</v>
      </c>
      <c r="F387">
        <v>4</v>
      </c>
      <c r="G387">
        <v>704</v>
      </c>
      <c r="H387">
        <v>2816</v>
      </c>
    </row>
    <row r="388" spans="1:8" x14ac:dyDescent="0.25">
      <c r="A388" t="s">
        <v>441</v>
      </c>
      <c r="B388" s="1">
        <v>45418</v>
      </c>
      <c r="C388" t="s">
        <v>442</v>
      </c>
      <c r="D388" t="s">
        <v>10</v>
      </c>
      <c r="E388" t="s">
        <v>14</v>
      </c>
      <c r="F388">
        <v>5</v>
      </c>
      <c r="G388">
        <v>562</v>
      </c>
      <c r="H388">
        <v>2810</v>
      </c>
    </row>
    <row r="389" spans="1:8" x14ac:dyDescent="0.25">
      <c r="A389" t="s">
        <v>176</v>
      </c>
      <c r="B389" s="1">
        <v>45226</v>
      </c>
      <c r="C389" t="s">
        <v>177</v>
      </c>
      <c r="D389" t="s">
        <v>20</v>
      </c>
      <c r="E389" t="s">
        <v>32</v>
      </c>
      <c r="F389">
        <v>3</v>
      </c>
      <c r="G389">
        <v>935</v>
      </c>
      <c r="H389">
        <v>2805</v>
      </c>
    </row>
    <row r="390" spans="1:8" x14ac:dyDescent="0.25">
      <c r="A390" t="s">
        <v>620</v>
      </c>
      <c r="B390" s="1">
        <v>45422</v>
      </c>
      <c r="C390" t="s">
        <v>134</v>
      </c>
      <c r="D390" t="s">
        <v>27</v>
      </c>
      <c r="E390" t="s">
        <v>25</v>
      </c>
      <c r="F390">
        <v>5</v>
      </c>
      <c r="G390">
        <v>561</v>
      </c>
      <c r="H390">
        <v>2805</v>
      </c>
    </row>
    <row r="391" spans="1:8" x14ac:dyDescent="0.25">
      <c r="A391" t="s">
        <v>1045</v>
      </c>
      <c r="B391" s="1">
        <v>45398</v>
      </c>
      <c r="C391" t="s">
        <v>375</v>
      </c>
      <c r="D391" t="s">
        <v>17</v>
      </c>
      <c r="E391" t="s">
        <v>25</v>
      </c>
      <c r="F391">
        <v>3</v>
      </c>
      <c r="G391">
        <v>934</v>
      </c>
      <c r="H391">
        <v>2802</v>
      </c>
    </row>
    <row r="392" spans="1:8" x14ac:dyDescent="0.25">
      <c r="A392" t="s">
        <v>1308</v>
      </c>
      <c r="B392" s="1">
        <v>45149</v>
      </c>
      <c r="C392" t="s">
        <v>889</v>
      </c>
      <c r="D392" t="s">
        <v>17</v>
      </c>
      <c r="E392" t="s">
        <v>11</v>
      </c>
      <c r="F392">
        <v>3</v>
      </c>
      <c r="G392">
        <v>933</v>
      </c>
      <c r="H392">
        <v>2799</v>
      </c>
    </row>
    <row r="393" spans="1:8" x14ac:dyDescent="0.25">
      <c r="A393" t="s">
        <v>1124</v>
      </c>
      <c r="B393" s="1">
        <v>45047</v>
      </c>
      <c r="C393" t="s">
        <v>65</v>
      </c>
      <c r="D393" t="s">
        <v>10</v>
      </c>
      <c r="E393" t="s">
        <v>11</v>
      </c>
      <c r="F393">
        <v>4</v>
      </c>
      <c r="G393">
        <v>699</v>
      </c>
      <c r="H393">
        <v>2796</v>
      </c>
    </row>
    <row r="394" spans="1:8" x14ac:dyDescent="0.25">
      <c r="A394" t="s">
        <v>1711</v>
      </c>
      <c r="B394" s="1">
        <v>45327</v>
      </c>
      <c r="C394" t="s">
        <v>371</v>
      </c>
      <c r="D394" t="s">
        <v>17</v>
      </c>
      <c r="E394" t="s">
        <v>35</v>
      </c>
      <c r="F394">
        <v>4</v>
      </c>
      <c r="G394">
        <v>699</v>
      </c>
      <c r="H394">
        <v>2796</v>
      </c>
    </row>
    <row r="395" spans="1:8" x14ac:dyDescent="0.25">
      <c r="A395" t="s">
        <v>743</v>
      </c>
      <c r="B395" s="1">
        <v>45273</v>
      </c>
      <c r="C395" t="s">
        <v>744</v>
      </c>
      <c r="D395" t="s">
        <v>20</v>
      </c>
      <c r="E395" t="s">
        <v>35</v>
      </c>
      <c r="F395">
        <v>4</v>
      </c>
      <c r="G395">
        <v>698</v>
      </c>
      <c r="H395">
        <v>2792</v>
      </c>
    </row>
    <row r="396" spans="1:8" x14ac:dyDescent="0.25">
      <c r="A396" t="s">
        <v>1295</v>
      </c>
      <c r="B396" s="1">
        <v>45320</v>
      </c>
      <c r="C396" t="s">
        <v>230</v>
      </c>
      <c r="D396" t="s">
        <v>10</v>
      </c>
      <c r="E396" t="s">
        <v>25</v>
      </c>
      <c r="F396">
        <v>4</v>
      </c>
      <c r="G396">
        <v>697</v>
      </c>
      <c r="H396">
        <v>2788</v>
      </c>
    </row>
    <row r="397" spans="1:8" x14ac:dyDescent="0.25">
      <c r="A397" t="s">
        <v>1440</v>
      </c>
      <c r="B397" s="1">
        <v>45436</v>
      </c>
      <c r="C397" t="s">
        <v>142</v>
      </c>
      <c r="D397" t="s">
        <v>20</v>
      </c>
      <c r="E397" t="s">
        <v>11</v>
      </c>
      <c r="F397">
        <v>4</v>
      </c>
      <c r="G397">
        <v>697</v>
      </c>
      <c r="H397">
        <v>2788</v>
      </c>
    </row>
    <row r="398" spans="1:8" x14ac:dyDescent="0.25">
      <c r="A398" t="s">
        <v>1528</v>
      </c>
      <c r="B398" s="1">
        <v>45342</v>
      </c>
      <c r="C398" t="s">
        <v>289</v>
      </c>
      <c r="D398" t="s">
        <v>20</v>
      </c>
      <c r="E398" t="s">
        <v>11</v>
      </c>
      <c r="F398">
        <v>3</v>
      </c>
      <c r="G398">
        <v>929</v>
      </c>
      <c r="H398">
        <v>2787</v>
      </c>
    </row>
    <row r="399" spans="1:8" x14ac:dyDescent="0.25">
      <c r="A399" t="s">
        <v>95</v>
      </c>
      <c r="B399" s="1">
        <v>45183</v>
      </c>
      <c r="C399" t="s">
        <v>96</v>
      </c>
      <c r="D399" t="s">
        <v>10</v>
      </c>
      <c r="E399" t="s">
        <v>14</v>
      </c>
      <c r="F399">
        <v>4</v>
      </c>
      <c r="G399">
        <v>696</v>
      </c>
      <c r="H399">
        <v>2784</v>
      </c>
    </row>
    <row r="400" spans="1:8" x14ac:dyDescent="0.25">
      <c r="A400" t="s">
        <v>1451</v>
      </c>
      <c r="B400" s="1">
        <v>45036</v>
      </c>
      <c r="C400" t="s">
        <v>358</v>
      </c>
      <c r="D400" t="s">
        <v>17</v>
      </c>
      <c r="E400" t="s">
        <v>32</v>
      </c>
      <c r="F400">
        <v>5</v>
      </c>
      <c r="G400">
        <v>555</v>
      </c>
      <c r="H400">
        <v>2775</v>
      </c>
    </row>
    <row r="401" spans="1:8" x14ac:dyDescent="0.25">
      <c r="A401" t="s">
        <v>1215</v>
      </c>
      <c r="B401" s="1">
        <v>45465</v>
      </c>
      <c r="C401" t="s">
        <v>298</v>
      </c>
      <c r="D401" t="s">
        <v>17</v>
      </c>
      <c r="E401" t="s">
        <v>11</v>
      </c>
      <c r="F401">
        <v>3</v>
      </c>
      <c r="G401">
        <v>924</v>
      </c>
      <c r="H401">
        <v>2772</v>
      </c>
    </row>
    <row r="402" spans="1:8" x14ac:dyDescent="0.25">
      <c r="A402" t="s">
        <v>301</v>
      </c>
      <c r="B402" s="1">
        <v>45563</v>
      </c>
      <c r="C402" t="s">
        <v>302</v>
      </c>
      <c r="D402" t="s">
        <v>27</v>
      </c>
      <c r="E402" t="s">
        <v>25</v>
      </c>
      <c r="F402">
        <v>4</v>
      </c>
      <c r="G402">
        <v>692</v>
      </c>
      <c r="H402">
        <v>2768</v>
      </c>
    </row>
    <row r="403" spans="1:8" x14ac:dyDescent="0.25">
      <c r="A403" t="s">
        <v>440</v>
      </c>
      <c r="B403" s="1">
        <v>45145</v>
      </c>
      <c r="C403" t="s">
        <v>104</v>
      </c>
      <c r="D403" t="s">
        <v>20</v>
      </c>
      <c r="E403" t="s">
        <v>35</v>
      </c>
      <c r="F403">
        <v>5</v>
      </c>
      <c r="G403">
        <v>553</v>
      </c>
      <c r="H403">
        <v>2765</v>
      </c>
    </row>
    <row r="404" spans="1:8" x14ac:dyDescent="0.25">
      <c r="A404" t="s">
        <v>1254</v>
      </c>
      <c r="B404" s="1">
        <v>45607</v>
      </c>
      <c r="C404" t="s">
        <v>600</v>
      </c>
      <c r="D404" t="s">
        <v>20</v>
      </c>
      <c r="E404" t="s">
        <v>11</v>
      </c>
      <c r="F404">
        <v>4</v>
      </c>
      <c r="G404">
        <v>691</v>
      </c>
      <c r="H404">
        <v>2764</v>
      </c>
    </row>
    <row r="405" spans="1:8" x14ac:dyDescent="0.25">
      <c r="A405" t="s">
        <v>1119</v>
      </c>
      <c r="B405" s="1">
        <v>45270</v>
      </c>
      <c r="C405" t="s">
        <v>389</v>
      </c>
      <c r="D405" t="s">
        <v>20</v>
      </c>
      <c r="E405" t="s">
        <v>25</v>
      </c>
      <c r="F405">
        <v>5</v>
      </c>
      <c r="G405">
        <v>551</v>
      </c>
      <c r="H405">
        <v>2755</v>
      </c>
    </row>
    <row r="406" spans="1:8" x14ac:dyDescent="0.25">
      <c r="A406" t="s">
        <v>44</v>
      </c>
      <c r="B406" s="1">
        <v>45177</v>
      </c>
      <c r="C406" t="s">
        <v>45</v>
      </c>
      <c r="D406" t="s">
        <v>17</v>
      </c>
      <c r="E406" t="s">
        <v>35</v>
      </c>
      <c r="F406">
        <v>3</v>
      </c>
      <c r="G406">
        <v>918</v>
      </c>
      <c r="H406">
        <v>2754</v>
      </c>
    </row>
    <row r="407" spans="1:8" x14ac:dyDescent="0.25">
      <c r="A407" t="s">
        <v>660</v>
      </c>
      <c r="B407" s="1">
        <v>45314</v>
      </c>
      <c r="C407" t="s">
        <v>367</v>
      </c>
      <c r="D407" t="s">
        <v>10</v>
      </c>
      <c r="E407" t="s">
        <v>35</v>
      </c>
      <c r="F407">
        <v>3</v>
      </c>
      <c r="G407">
        <v>916</v>
      </c>
      <c r="H407">
        <v>2748</v>
      </c>
    </row>
    <row r="408" spans="1:8" x14ac:dyDescent="0.25">
      <c r="A408" t="s">
        <v>1199</v>
      </c>
      <c r="B408" s="1">
        <v>45416</v>
      </c>
      <c r="C408" t="s">
        <v>348</v>
      </c>
      <c r="D408" t="s">
        <v>20</v>
      </c>
      <c r="E408" t="s">
        <v>25</v>
      </c>
      <c r="F408">
        <v>4</v>
      </c>
      <c r="G408">
        <v>685</v>
      </c>
      <c r="H408">
        <v>2740</v>
      </c>
    </row>
    <row r="409" spans="1:8" x14ac:dyDescent="0.25">
      <c r="A409" t="s">
        <v>481</v>
      </c>
      <c r="B409" s="1">
        <v>44953</v>
      </c>
      <c r="C409" t="s">
        <v>117</v>
      </c>
      <c r="D409" t="s">
        <v>27</v>
      </c>
      <c r="E409" t="s">
        <v>11</v>
      </c>
      <c r="F409">
        <v>3</v>
      </c>
      <c r="G409">
        <v>912</v>
      </c>
      <c r="H409">
        <v>2736</v>
      </c>
    </row>
    <row r="410" spans="1:8" x14ac:dyDescent="0.25">
      <c r="A410" t="s">
        <v>1535</v>
      </c>
      <c r="B410" s="1">
        <v>45033</v>
      </c>
      <c r="C410" t="s">
        <v>594</v>
      </c>
      <c r="D410" t="s">
        <v>20</v>
      </c>
      <c r="E410" t="s">
        <v>35</v>
      </c>
      <c r="F410">
        <v>4</v>
      </c>
      <c r="G410">
        <v>683</v>
      </c>
      <c r="H410">
        <v>2732</v>
      </c>
    </row>
    <row r="411" spans="1:8" x14ac:dyDescent="0.25">
      <c r="A411" t="s">
        <v>662</v>
      </c>
      <c r="B411" s="1">
        <v>45535</v>
      </c>
      <c r="C411" t="s">
        <v>663</v>
      </c>
      <c r="D411" t="s">
        <v>27</v>
      </c>
      <c r="E411" t="s">
        <v>25</v>
      </c>
      <c r="F411">
        <v>4</v>
      </c>
      <c r="G411">
        <v>682</v>
      </c>
      <c r="H411">
        <v>2728</v>
      </c>
    </row>
    <row r="412" spans="1:8" x14ac:dyDescent="0.25">
      <c r="A412" t="s">
        <v>1147</v>
      </c>
      <c r="B412" s="1">
        <v>45332</v>
      </c>
      <c r="C412" t="s">
        <v>82</v>
      </c>
      <c r="D412" t="s">
        <v>27</v>
      </c>
      <c r="E412" t="s">
        <v>14</v>
      </c>
      <c r="F412">
        <v>3</v>
      </c>
      <c r="G412">
        <v>907</v>
      </c>
      <c r="H412">
        <v>2721</v>
      </c>
    </row>
    <row r="413" spans="1:8" x14ac:dyDescent="0.25">
      <c r="A413" t="s">
        <v>217</v>
      </c>
      <c r="B413" s="1">
        <v>45212</v>
      </c>
      <c r="C413" t="s">
        <v>142</v>
      </c>
      <c r="D413" t="s">
        <v>27</v>
      </c>
      <c r="E413" t="s">
        <v>32</v>
      </c>
      <c r="F413">
        <v>5</v>
      </c>
      <c r="G413">
        <v>544</v>
      </c>
      <c r="H413">
        <v>2720</v>
      </c>
    </row>
    <row r="414" spans="1:8" x14ac:dyDescent="0.25">
      <c r="A414" t="s">
        <v>1207</v>
      </c>
      <c r="B414" s="1">
        <v>45382</v>
      </c>
      <c r="C414" t="s">
        <v>938</v>
      </c>
      <c r="D414" t="s">
        <v>20</v>
      </c>
      <c r="E414" t="s">
        <v>11</v>
      </c>
      <c r="F414">
        <v>5</v>
      </c>
      <c r="G414">
        <v>544</v>
      </c>
      <c r="H414">
        <v>2720</v>
      </c>
    </row>
    <row r="415" spans="1:8" x14ac:dyDescent="0.25">
      <c r="A415" t="s">
        <v>255</v>
      </c>
      <c r="B415" s="1">
        <v>45235</v>
      </c>
      <c r="C415" t="s">
        <v>256</v>
      </c>
      <c r="D415" t="s">
        <v>10</v>
      </c>
      <c r="E415" t="s">
        <v>32</v>
      </c>
      <c r="F415">
        <v>4</v>
      </c>
      <c r="G415">
        <v>678</v>
      </c>
      <c r="H415">
        <v>2712</v>
      </c>
    </row>
    <row r="416" spans="1:8" x14ac:dyDescent="0.25">
      <c r="A416" t="s">
        <v>656</v>
      </c>
      <c r="B416" s="1">
        <v>45561</v>
      </c>
      <c r="C416" t="s">
        <v>657</v>
      </c>
      <c r="D416" t="s">
        <v>20</v>
      </c>
      <c r="E416" t="s">
        <v>25</v>
      </c>
      <c r="F416">
        <v>3</v>
      </c>
      <c r="G416">
        <v>904</v>
      </c>
      <c r="H416">
        <v>2712</v>
      </c>
    </row>
    <row r="417" spans="1:8" x14ac:dyDescent="0.25">
      <c r="A417" t="s">
        <v>172</v>
      </c>
      <c r="B417" s="1">
        <v>45561</v>
      </c>
      <c r="C417" t="s">
        <v>173</v>
      </c>
      <c r="D417" t="s">
        <v>20</v>
      </c>
      <c r="E417" t="s">
        <v>14</v>
      </c>
      <c r="F417">
        <v>5</v>
      </c>
      <c r="G417">
        <v>542</v>
      </c>
      <c r="H417">
        <v>2710</v>
      </c>
    </row>
    <row r="418" spans="1:8" x14ac:dyDescent="0.25">
      <c r="A418" t="s">
        <v>1563</v>
      </c>
      <c r="B418" s="1">
        <v>45356</v>
      </c>
      <c r="C418" t="s">
        <v>348</v>
      </c>
      <c r="D418" t="s">
        <v>20</v>
      </c>
      <c r="E418" t="s">
        <v>35</v>
      </c>
      <c r="F418">
        <v>5</v>
      </c>
      <c r="G418">
        <v>542</v>
      </c>
      <c r="H418">
        <v>2710</v>
      </c>
    </row>
    <row r="419" spans="1:8" x14ac:dyDescent="0.25">
      <c r="A419" t="s">
        <v>1706</v>
      </c>
      <c r="B419" s="1">
        <v>45205</v>
      </c>
      <c r="C419" t="s">
        <v>706</v>
      </c>
      <c r="D419" t="s">
        <v>10</v>
      </c>
      <c r="E419" t="s">
        <v>32</v>
      </c>
      <c r="F419">
        <v>4</v>
      </c>
      <c r="G419">
        <v>676</v>
      </c>
      <c r="H419">
        <v>2704</v>
      </c>
    </row>
    <row r="420" spans="1:8" x14ac:dyDescent="0.25">
      <c r="A420" t="s">
        <v>521</v>
      </c>
      <c r="B420" s="1">
        <v>45527</v>
      </c>
      <c r="C420" t="s">
        <v>80</v>
      </c>
      <c r="D420" t="s">
        <v>20</v>
      </c>
      <c r="E420" t="s">
        <v>32</v>
      </c>
      <c r="F420">
        <v>5</v>
      </c>
      <c r="G420">
        <v>540</v>
      </c>
      <c r="H420">
        <v>2700</v>
      </c>
    </row>
    <row r="421" spans="1:8" x14ac:dyDescent="0.25">
      <c r="A421" t="s">
        <v>730</v>
      </c>
      <c r="B421" s="1">
        <v>45333</v>
      </c>
      <c r="C421" t="s">
        <v>252</v>
      </c>
      <c r="D421" t="s">
        <v>20</v>
      </c>
      <c r="E421" t="s">
        <v>35</v>
      </c>
      <c r="F421">
        <v>5</v>
      </c>
      <c r="G421">
        <v>540</v>
      </c>
      <c r="H421">
        <v>2700</v>
      </c>
    </row>
    <row r="422" spans="1:8" x14ac:dyDescent="0.25">
      <c r="A422" t="s">
        <v>1281</v>
      </c>
      <c r="B422" s="1">
        <v>45433</v>
      </c>
      <c r="C422" t="s">
        <v>24</v>
      </c>
      <c r="D422" t="s">
        <v>20</v>
      </c>
      <c r="E422" t="s">
        <v>35</v>
      </c>
      <c r="F422">
        <v>3</v>
      </c>
      <c r="G422">
        <v>899</v>
      </c>
      <c r="H422">
        <v>2697</v>
      </c>
    </row>
    <row r="423" spans="1:8" x14ac:dyDescent="0.25">
      <c r="A423" t="s">
        <v>1340</v>
      </c>
      <c r="B423" s="1">
        <v>45369</v>
      </c>
      <c r="C423" t="s">
        <v>446</v>
      </c>
      <c r="D423" t="s">
        <v>17</v>
      </c>
      <c r="E423" t="s">
        <v>35</v>
      </c>
      <c r="F423">
        <v>3</v>
      </c>
      <c r="G423">
        <v>899</v>
      </c>
      <c r="H423">
        <v>2697</v>
      </c>
    </row>
    <row r="424" spans="1:8" x14ac:dyDescent="0.25">
      <c r="A424" t="s">
        <v>66</v>
      </c>
      <c r="B424" s="1">
        <v>44951</v>
      </c>
      <c r="C424" t="s">
        <v>67</v>
      </c>
      <c r="D424" t="s">
        <v>10</v>
      </c>
      <c r="E424" t="s">
        <v>35</v>
      </c>
      <c r="F424">
        <v>5</v>
      </c>
      <c r="G424">
        <v>539</v>
      </c>
      <c r="H424">
        <v>2695</v>
      </c>
    </row>
    <row r="425" spans="1:8" x14ac:dyDescent="0.25">
      <c r="A425" t="s">
        <v>1468</v>
      </c>
      <c r="B425" s="1">
        <v>45404</v>
      </c>
      <c r="C425" t="s">
        <v>161</v>
      </c>
      <c r="D425" t="s">
        <v>27</v>
      </c>
      <c r="E425" t="s">
        <v>35</v>
      </c>
      <c r="F425">
        <v>3</v>
      </c>
      <c r="G425">
        <v>898</v>
      </c>
      <c r="H425">
        <v>2694</v>
      </c>
    </row>
    <row r="426" spans="1:8" x14ac:dyDescent="0.25">
      <c r="A426" t="s">
        <v>577</v>
      </c>
      <c r="B426" s="1">
        <v>45082</v>
      </c>
      <c r="C426" t="s">
        <v>132</v>
      </c>
      <c r="D426" t="s">
        <v>20</v>
      </c>
      <c r="E426" t="s">
        <v>32</v>
      </c>
      <c r="F426">
        <v>4</v>
      </c>
      <c r="G426">
        <v>672</v>
      </c>
      <c r="H426">
        <v>2688</v>
      </c>
    </row>
    <row r="427" spans="1:8" x14ac:dyDescent="0.25">
      <c r="A427" t="s">
        <v>935</v>
      </c>
      <c r="B427" s="1">
        <v>45517</v>
      </c>
      <c r="C427" t="s">
        <v>936</v>
      </c>
      <c r="D427" t="s">
        <v>10</v>
      </c>
      <c r="E427" t="s">
        <v>14</v>
      </c>
      <c r="F427">
        <v>3</v>
      </c>
      <c r="G427">
        <v>895</v>
      </c>
      <c r="H427">
        <v>2685</v>
      </c>
    </row>
    <row r="428" spans="1:8" x14ac:dyDescent="0.25">
      <c r="A428" t="s">
        <v>1798</v>
      </c>
      <c r="B428" s="1">
        <v>45001</v>
      </c>
      <c r="C428" t="s">
        <v>53</v>
      </c>
      <c r="D428" t="s">
        <v>20</v>
      </c>
      <c r="E428" t="s">
        <v>35</v>
      </c>
      <c r="F428">
        <v>5</v>
      </c>
      <c r="G428">
        <v>537</v>
      </c>
      <c r="H428">
        <v>2685</v>
      </c>
    </row>
    <row r="429" spans="1:8" x14ac:dyDescent="0.25">
      <c r="A429" t="s">
        <v>588</v>
      </c>
      <c r="B429" s="1">
        <v>45041</v>
      </c>
      <c r="C429" t="s">
        <v>589</v>
      </c>
      <c r="D429" t="s">
        <v>27</v>
      </c>
      <c r="E429" t="s">
        <v>32</v>
      </c>
      <c r="F429">
        <v>5</v>
      </c>
      <c r="G429">
        <v>536</v>
      </c>
      <c r="H429">
        <v>2680</v>
      </c>
    </row>
    <row r="430" spans="1:8" x14ac:dyDescent="0.25">
      <c r="A430" t="s">
        <v>688</v>
      </c>
      <c r="B430" s="1">
        <v>45248</v>
      </c>
      <c r="C430" t="s">
        <v>94</v>
      </c>
      <c r="D430" t="s">
        <v>27</v>
      </c>
      <c r="E430" t="s">
        <v>11</v>
      </c>
      <c r="F430">
        <v>4</v>
      </c>
      <c r="G430">
        <v>669</v>
      </c>
      <c r="H430">
        <v>2676</v>
      </c>
    </row>
    <row r="431" spans="1:8" x14ac:dyDescent="0.25">
      <c r="A431" t="s">
        <v>1596</v>
      </c>
      <c r="B431" s="1">
        <v>45121</v>
      </c>
      <c r="C431" t="s">
        <v>471</v>
      </c>
      <c r="D431" t="s">
        <v>17</v>
      </c>
      <c r="E431" t="s">
        <v>35</v>
      </c>
      <c r="F431">
        <v>5</v>
      </c>
      <c r="G431">
        <v>534</v>
      </c>
      <c r="H431">
        <v>2670</v>
      </c>
    </row>
    <row r="432" spans="1:8" x14ac:dyDescent="0.25">
      <c r="A432" t="s">
        <v>969</v>
      </c>
      <c r="B432" s="1">
        <v>45375</v>
      </c>
      <c r="C432" t="s">
        <v>929</v>
      </c>
      <c r="D432" t="s">
        <v>10</v>
      </c>
      <c r="E432" t="s">
        <v>11</v>
      </c>
      <c r="F432">
        <v>3</v>
      </c>
      <c r="G432">
        <v>889</v>
      </c>
      <c r="H432">
        <v>2667</v>
      </c>
    </row>
    <row r="433" spans="1:8" x14ac:dyDescent="0.25">
      <c r="A433" t="s">
        <v>1544</v>
      </c>
      <c r="B433" s="1">
        <v>45427</v>
      </c>
      <c r="C433" t="s">
        <v>88</v>
      </c>
      <c r="D433" t="s">
        <v>10</v>
      </c>
      <c r="E433" t="s">
        <v>14</v>
      </c>
      <c r="F433">
        <v>3</v>
      </c>
      <c r="G433">
        <v>887</v>
      </c>
      <c r="H433">
        <v>2661</v>
      </c>
    </row>
    <row r="434" spans="1:8" x14ac:dyDescent="0.25">
      <c r="A434" t="s">
        <v>448</v>
      </c>
      <c r="B434" s="1">
        <v>45453</v>
      </c>
      <c r="C434" t="s">
        <v>449</v>
      </c>
      <c r="D434" t="s">
        <v>17</v>
      </c>
      <c r="E434" t="s">
        <v>25</v>
      </c>
      <c r="F434">
        <v>4</v>
      </c>
      <c r="G434">
        <v>665</v>
      </c>
      <c r="H434">
        <v>2660</v>
      </c>
    </row>
    <row r="435" spans="1:8" x14ac:dyDescent="0.25">
      <c r="A435" t="s">
        <v>30</v>
      </c>
      <c r="B435" s="1">
        <v>45165</v>
      </c>
      <c r="C435" t="s">
        <v>31</v>
      </c>
      <c r="D435" t="s">
        <v>20</v>
      </c>
      <c r="E435" t="s">
        <v>32</v>
      </c>
      <c r="F435">
        <v>5</v>
      </c>
      <c r="G435">
        <v>531</v>
      </c>
      <c r="H435">
        <v>2655</v>
      </c>
    </row>
    <row r="436" spans="1:8" x14ac:dyDescent="0.25">
      <c r="A436" t="s">
        <v>340</v>
      </c>
      <c r="B436" s="1">
        <v>45241</v>
      </c>
      <c r="C436" t="s">
        <v>246</v>
      </c>
      <c r="D436" t="s">
        <v>27</v>
      </c>
      <c r="E436" t="s">
        <v>11</v>
      </c>
      <c r="F436">
        <v>5</v>
      </c>
      <c r="G436">
        <v>530</v>
      </c>
      <c r="H436">
        <v>2650</v>
      </c>
    </row>
    <row r="437" spans="1:8" x14ac:dyDescent="0.25">
      <c r="A437" t="s">
        <v>898</v>
      </c>
      <c r="B437" s="1">
        <v>45304</v>
      </c>
      <c r="C437" t="s">
        <v>313</v>
      </c>
      <c r="D437" t="s">
        <v>10</v>
      </c>
      <c r="E437" t="s">
        <v>25</v>
      </c>
      <c r="F437">
        <v>3</v>
      </c>
      <c r="G437">
        <v>882</v>
      </c>
      <c r="H437">
        <v>2646</v>
      </c>
    </row>
    <row r="438" spans="1:8" x14ac:dyDescent="0.25">
      <c r="A438" t="s">
        <v>602</v>
      </c>
      <c r="B438" s="1">
        <v>45423</v>
      </c>
      <c r="C438" t="s">
        <v>603</v>
      </c>
      <c r="D438" t="s">
        <v>17</v>
      </c>
      <c r="E438" t="s">
        <v>14</v>
      </c>
      <c r="F438">
        <v>4</v>
      </c>
      <c r="G438">
        <v>660</v>
      </c>
      <c r="H438">
        <v>2640</v>
      </c>
    </row>
    <row r="439" spans="1:8" x14ac:dyDescent="0.25">
      <c r="A439" t="s">
        <v>483</v>
      </c>
      <c r="B439" s="1">
        <v>45263</v>
      </c>
      <c r="C439" t="s">
        <v>484</v>
      </c>
      <c r="D439" t="s">
        <v>17</v>
      </c>
      <c r="E439" t="s">
        <v>14</v>
      </c>
      <c r="F439">
        <v>5</v>
      </c>
      <c r="G439">
        <v>527</v>
      </c>
      <c r="H439">
        <v>2635</v>
      </c>
    </row>
    <row r="440" spans="1:8" x14ac:dyDescent="0.25">
      <c r="A440" t="s">
        <v>1245</v>
      </c>
      <c r="B440" s="1">
        <v>45192</v>
      </c>
      <c r="C440" t="s">
        <v>671</v>
      </c>
      <c r="D440" t="s">
        <v>10</v>
      </c>
      <c r="E440" t="s">
        <v>14</v>
      </c>
      <c r="F440">
        <v>3</v>
      </c>
      <c r="G440">
        <v>876</v>
      </c>
      <c r="H440">
        <v>2628</v>
      </c>
    </row>
    <row r="441" spans="1:8" x14ac:dyDescent="0.25">
      <c r="A441" t="s">
        <v>508</v>
      </c>
      <c r="B441" s="1">
        <v>45352</v>
      </c>
      <c r="C441" t="s">
        <v>177</v>
      </c>
      <c r="D441" t="s">
        <v>20</v>
      </c>
      <c r="E441" t="s">
        <v>25</v>
      </c>
      <c r="F441">
        <v>3</v>
      </c>
      <c r="G441">
        <v>873</v>
      </c>
      <c r="H441">
        <v>2619</v>
      </c>
    </row>
    <row r="442" spans="1:8" x14ac:dyDescent="0.25">
      <c r="A442" t="s">
        <v>1345</v>
      </c>
      <c r="B442" s="1">
        <v>45123</v>
      </c>
      <c r="C442" t="s">
        <v>181</v>
      </c>
      <c r="D442" t="s">
        <v>20</v>
      </c>
      <c r="E442" t="s">
        <v>32</v>
      </c>
      <c r="F442">
        <v>5</v>
      </c>
      <c r="G442">
        <v>521</v>
      </c>
      <c r="H442">
        <v>2605</v>
      </c>
    </row>
    <row r="443" spans="1:8" x14ac:dyDescent="0.25">
      <c r="A443" t="s">
        <v>1704</v>
      </c>
      <c r="B443" s="1">
        <v>45352</v>
      </c>
      <c r="C443" t="s">
        <v>1000</v>
      </c>
      <c r="D443" t="s">
        <v>10</v>
      </c>
      <c r="E443" t="s">
        <v>14</v>
      </c>
      <c r="F443">
        <v>3</v>
      </c>
      <c r="G443">
        <v>867</v>
      </c>
      <c r="H443">
        <v>2601</v>
      </c>
    </row>
    <row r="444" spans="1:8" x14ac:dyDescent="0.25">
      <c r="A444" t="s">
        <v>776</v>
      </c>
      <c r="B444" s="1">
        <v>45256</v>
      </c>
      <c r="C444" t="s">
        <v>298</v>
      </c>
      <c r="D444" t="s">
        <v>10</v>
      </c>
      <c r="E444" t="s">
        <v>32</v>
      </c>
      <c r="F444">
        <v>5</v>
      </c>
      <c r="G444">
        <v>520</v>
      </c>
      <c r="H444">
        <v>2600</v>
      </c>
    </row>
    <row r="445" spans="1:8" x14ac:dyDescent="0.25">
      <c r="A445" t="s">
        <v>1287</v>
      </c>
      <c r="B445" s="1">
        <v>45255</v>
      </c>
      <c r="C445" t="s">
        <v>704</v>
      </c>
      <c r="D445" t="s">
        <v>20</v>
      </c>
      <c r="E445" t="s">
        <v>14</v>
      </c>
      <c r="F445">
        <v>3</v>
      </c>
      <c r="G445">
        <v>860</v>
      </c>
      <c r="H445">
        <v>2580</v>
      </c>
    </row>
    <row r="446" spans="1:8" x14ac:dyDescent="0.25">
      <c r="A446" t="s">
        <v>1553</v>
      </c>
      <c r="B446" s="1">
        <v>45311</v>
      </c>
      <c r="C446" t="s">
        <v>1114</v>
      </c>
      <c r="D446" t="s">
        <v>17</v>
      </c>
      <c r="E446" t="s">
        <v>35</v>
      </c>
      <c r="F446">
        <v>4</v>
      </c>
      <c r="G446">
        <v>645</v>
      </c>
      <c r="H446">
        <v>2580</v>
      </c>
    </row>
    <row r="447" spans="1:8" x14ac:dyDescent="0.25">
      <c r="A447" t="s">
        <v>1060</v>
      </c>
      <c r="B447" s="1">
        <v>45080</v>
      </c>
      <c r="C447" t="s">
        <v>134</v>
      </c>
      <c r="D447" t="s">
        <v>17</v>
      </c>
      <c r="E447" t="s">
        <v>14</v>
      </c>
      <c r="F447">
        <v>5</v>
      </c>
      <c r="G447">
        <v>515</v>
      </c>
      <c r="H447">
        <v>2575</v>
      </c>
    </row>
    <row r="448" spans="1:8" x14ac:dyDescent="0.25">
      <c r="A448" t="s">
        <v>1299</v>
      </c>
      <c r="B448" s="1">
        <v>45521</v>
      </c>
      <c r="C448" t="s">
        <v>121</v>
      </c>
      <c r="D448" t="s">
        <v>17</v>
      </c>
      <c r="E448" t="s">
        <v>11</v>
      </c>
      <c r="F448">
        <v>3</v>
      </c>
      <c r="G448">
        <v>858</v>
      </c>
      <c r="H448">
        <v>2574</v>
      </c>
    </row>
    <row r="449" spans="1:8" x14ac:dyDescent="0.25">
      <c r="A449" t="s">
        <v>21</v>
      </c>
      <c r="B449" s="1">
        <v>45108</v>
      </c>
      <c r="C449" t="s">
        <v>22</v>
      </c>
      <c r="D449" t="s">
        <v>17</v>
      </c>
      <c r="E449" t="s">
        <v>14</v>
      </c>
      <c r="F449">
        <v>3</v>
      </c>
      <c r="G449">
        <v>856</v>
      </c>
      <c r="H449">
        <v>2568</v>
      </c>
    </row>
    <row r="450" spans="1:8" x14ac:dyDescent="0.25">
      <c r="A450" t="s">
        <v>1580</v>
      </c>
      <c r="B450" s="1">
        <v>45622</v>
      </c>
      <c r="C450" t="s">
        <v>197</v>
      </c>
      <c r="D450" t="s">
        <v>20</v>
      </c>
      <c r="E450" t="s">
        <v>25</v>
      </c>
      <c r="F450">
        <v>3</v>
      </c>
      <c r="G450">
        <v>856</v>
      </c>
      <c r="H450">
        <v>2568</v>
      </c>
    </row>
    <row r="451" spans="1:8" x14ac:dyDescent="0.25">
      <c r="A451" t="s">
        <v>1471</v>
      </c>
      <c r="B451" s="1">
        <v>45073</v>
      </c>
      <c r="C451" t="s">
        <v>73</v>
      </c>
      <c r="D451" t="s">
        <v>20</v>
      </c>
      <c r="E451" t="s">
        <v>14</v>
      </c>
      <c r="F451">
        <v>3</v>
      </c>
      <c r="G451">
        <v>855</v>
      </c>
      <c r="H451">
        <v>2565</v>
      </c>
    </row>
    <row r="452" spans="1:8" x14ac:dyDescent="0.25">
      <c r="A452" t="s">
        <v>891</v>
      </c>
      <c r="B452" s="1">
        <v>45442</v>
      </c>
      <c r="C452" t="s">
        <v>117</v>
      </c>
      <c r="D452" t="s">
        <v>27</v>
      </c>
      <c r="E452" t="s">
        <v>35</v>
      </c>
      <c r="F452">
        <v>4</v>
      </c>
      <c r="G452">
        <v>641</v>
      </c>
      <c r="H452">
        <v>2564</v>
      </c>
    </row>
    <row r="453" spans="1:8" x14ac:dyDescent="0.25">
      <c r="A453" t="s">
        <v>1244</v>
      </c>
      <c r="B453" s="1">
        <v>45235</v>
      </c>
      <c r="C453" t="s">
        <v>375</v>
      </c>
      <c r="D453" t="s">
        <v>20</v>
      </c>
      <c r="E453" t="s">
        <v>25</v>
      </c>
      <c r="F453">
        <v>5</v>
      </c>
      <c r="G453">
        <v>511</v>
      </c>
      <c r="H453">
        <v>2555</v>
      </c>
    </row>
    <row r="454" spans="1:8" x14ac:dyDescent="0.25">
      <c r="A454" t="s">
        <v>1001</v>
      </c>
      <c r="B454" s="1">
        <v>45590</v>
      </c>
      <c r="C454" t="s">
        <v>973</v>
      </c>
      <c r="D454" t="s">
        <v>20</v>
      </c>
      <c r="E454" t="s">
        <v>14</v>
      </c>
      <c r="F454">
        <v>5</v>
      </c>
      <c r="G454">
        <v>509</v>
      </c>
      <c r="H454">
        <v>2545</v>
      </c>
    </row>
    <row r="455" spans="1:8" x14ac:dyDescent="0.25">
      <c r="A455" t="s">
        <v>1335</v>
      </c>
      <c r="B455" s="1">
        <v>45216</v>
      </c>
      <c r="C455" t="s">
        <v>320</v>
      </c>
      <c r="D455" t="s">
        <v>10</v>
      </c>
      <c r="E455" t="s">
        <v>11</v>
      </c>
      <c r="F455">
        <v>4</v>
      </c>
      <c r="G455">
        <v>636</v>
      </c>
      <c r="H455">
        <v>2544</v>
      </c>
    </row>
    <row r="456" spans="1:8" x14ac:dyDescent="0.25">
      <c r="A456" t="s">
        <v>355</v>
      </c>
      <c r="B456" s="1">
        <v>45156</v>
      </c>
      <c r="C456" t="s">
        <v>356</v>
      </c>
      <c r="D456" t="s">
        <v>17</v>
      </c>
      <c r="E456" t="s">
        <v>35</v>
      </c>
      <c r="F456">
        <v>3</v>
      </c>
      <c r="G456">
        <v>846</v>
      </c>
      <c r="H456">
        <v>2538</v>
      </c>
    </row>
    <row r="457" spans="1:8" x14ac:dyDescent="0.25">
      <c r="A457" t="s">
        <v>834</v>
      </c>
      <c r="B457" s="1">
        <v>45588</v>
      </c>
      <c r="C457" t="s">
        <v>194</v>
      </c>
      <c r="D457" t="s">
        <v>20</v>
      </c>
      <c r="E457" t="s">
        <v>11</v>
      </c>
      <c r="F457">
        <v>5</v>
      </c>
      <c r="G457">
        <v>506</v>
      </c>
      <c r="H457">
        <v>2530</v>
      </c>
    </row>
    <row r="458" spans="1:8" x14ac:dyDescent="0.25">
      <c r="A458" t="s">
        <v>1463</v>
      </c>
      <c r="B458" s="1">
        <v>45022</v>
      </c>
      <c r="C458" t="s">
        <v>138</v>
      </c>
      <c r="D458" t="s">
        <v>27</v>
      </c>
      <c r="E458" t="s">
        <v>35</v>
      </c>
      <c r="F458">
        <v>4</v>
      </c>
      <c r="G458">
        <v>632</v>
      </c>
      <c r="H458">
        <v>2528</v>
      </c>
    </row>
    <row r="459" spans="1:8" x14ac:dyDescent="0.25">
      <c r="A459" t="s">
        <v>1375</v>
      </c>
      <c r="B459" s="1">
        <v>45285</v>
      </c>
      <c r="C459" t="s">
        <v>1357</v>
      </c>
      <c r="D459" t="s">
        <v>27</v>
      </c>
      <c r="E459" t="s">
        <v>25</v>
      </c>
      <c r="F459">
        <v>4</v>
      </c>
      <c r="G459">
        <v>629</v>
      </c>
      <c r="H459">
        <v>2516</v>
      </c>
    </row>
    <row r="460" spans="1:8" x14ac:dyDescent="0.25">
      <c r="A460" t="s">
        <v>1163</v>
      </c>
      <c r="B460" s="1">
        <v>45056</v>
      </c>
      <c r="C460" t="s">
        <v>163</v>
      </c>
      <c r="D460" t="s">
        <v>10</v>
      </c>
      <c r="E460" t="s">
        <v>14</v>
      </c>
      <c r="F460">
        <v>3</v>
      </c>
      <c r="G460">
        <v>836</v>
      </c>
      <c r="H460">
        <v>2508</v>
      </c>
    </row>
    <row r="461" spans="1:8" x14ac:dyDescent="0.25">
      <c r="A461" t="s">
        <v>493</v>
      </c>
      <c r="B461" s="1">
        <v>45268</v>
      </c>
      <c r="C461" t="s">
        <v>494</v>
      </c>
      <c r="D461" t="s">
        <v>20</v>
      </c>
      <c r="E461" t="s">
        <v>25</v>
      </c>
      <c r="F461">
        <v>4</v>
      </c>
      <c r="G461">
        <v>626</v>
      </c>
      <c r="H461">
        <v>2504</v>
      </c>
    </row>
    <row r="462" spans="1:8" x14ac:dyDescent="0.25">
      <c r="A462" t="s">
        <v>1527</v>
      </c>
      <c r="B462" s="1">
        <v>45199</v>
      </c>
      <c r="C462" t="s">
        <v>531</v>
      </c>
      <c r="D462" t="s">
        <v>27</v>
      </c>
      <c r="E462" t="s">
        <v>14</v>
      </c>
      <c r="F462">
        <v>3</v>
      </c>
      <c r="G462">
        <v>833</v>
      </c>
      <c r="H462">
        <v>2499</v>
      </c>
    </row>
    <row r="463" spans="1:8" x14ac:dyDescent="0.25">
      <c r="A463" t="s">
        <v>159</v>
      </c>
      <c r="B463" s="1">
        <v>44960</v>
      </c>
      <c r="C463" t="s">
        <v>106</v>
      </c>
      <c r="D463" t="s">
        <v>17</v>
      </c>
      <c r="E463" t="s">
        <v>32</v>
      </c>
      <c r="F463">
        <v>3</v>
      </c>
      <c r="G463">
        <v>832</v>
      </c>
      <c r="H463">
        <v>2496</v>
      </c>
    </row>
    <row r="464" spans="1:8" x14ac:dyDescent="0.25">
      <c r="A464" t="s">
        <v>1611</v>
      </c>
      <c r="B464" s="1">
        <v>45277</v>
      </c>
      <c r="C464" t="s">
        <v>61</v>
      </c>
      <c r="D464" t="s">
        <v>27</v>
      </c>
      <c r="E464" t="s">
        <v>11</v>
      </c>
      <c r="F464">
        <v>3</v>
      </c>
      <c r="G464">
        <v>830</v>
      </c>
      <c r="H464">
        <v>2490</v>
      </c>
    </row>
    <row r="465" spans="1:8" x14ac:dyDescent="0.25">
      <c r="A465" t="s">
        <v>1182</v>
      </c>
      <c r="B465" s="1">
        <v>45048</v>
      </c>
      <c r="C465" t="s">
        <v>298</v>
      </c>
      <c r="D465" t="s">
        <v>20</v>
      </c>
      <c r="E465" t="s">
        <v>35</v>
      </c>
      <c r="F465">
        <v>3</v>
      </c>
      <c r="G465">
        <v>828</v>
      </c>
      <c r="H465">
        <v>2484</v>
      </c>
    </row>
    <row r="466" spans="1:8" x14ac:dyDescent="0.25">
      <c r="A466" t="s">
        <v>974</v>
      </c>
      <c r="B466" s="1">
        <v>45032</v>
      </c>
      <c r="C466" t="s">
        <v>382</v>
      </c>
      <c r="D466" t="s">
        <v>17</v>
      </c>
      <c r="E466" t="s">
        <v>25</v>
      </c>
      <c r="F466">
        <v>3</v>
      </c>
      <c r="G466">
        <v>827</v>
      </c>
      <c r="H466">
        <v>2481</v>
      </c>
    </row>
    <row r="467" spans="1:8" x14ac:dyDescent="0.25">
      <c r="A467" t="s">
        <v>1492</v>
      </c>
      <c r="B467" s="1">
        <v>45107</v>
      </c>
      <c r="C467" t="s">
        <v>216</v>
      </c>
      <c r="D467" t="s">
        <v>10</v>
      </c>
      <c r="E467" t="s">
        <v>25</v>
      </c>
      <c r="F467">
        <v>3</v>
      </c>
      <c r="G467">
        <v>826</v>
      </c>
      <c r="H467">
        <v>2478</v>
      </c>
    </row>
    <row r="468" spans="1:8" x14ac:dyDescent="0.25">
      <c r="A468" t="s">
        <v>1100</v>
      </c>
      <c r="B468" s="1">
        <v>45609</v>
      </c>
      <c r="C468" t="s">
        <v>1101</v>
      </c>
      <c r="D468" t="s">
        <v>20</v>
      </c>
      <c r="E468" t="s">
        <v>14</v>
      </c>
      <c r="F468">
        <v>3</v>
      </c>
      <c r="G468">
        <v>823</v>
      </c>
      <c r="H468">
        <v>2469</v>
      </c>
    </row>
    <row r="469" spans="1:8" x14ac:dyDescent="0.25">
      <c r="A469" t="s">
        <v>319</v>
      </c>
      <c r="B469" s="1">
        <v>45402</v>
      </c>
      <c r="C469" t="s">
        <v>320</v>
      </c>
      <c r="D469" t="s">
        <v>20</v>
      </c>
      <c r="E469" t="s">
        <v>35</v>
      </c>
      <c r="F469">
        <v>3</v>
      </c>
      <c r="G469">
        <v>822</v>
      </c>
      <c r="H469">
        <v>2466</v>
      </c>
    </row>
    <row r="470" spans="1:8" x14ac:dyDescent="0.25">
      <c r="A470" t="s">
        <v>316</v>
      </c>
      <c r="B470" s="1">
        <v>45389</v>
      </c>
      <c r="C470" t="s">
        <v>98</v>
      </c>
      <c r="D470" t="s">
        <v>10</v>
      </c>
      <c r="E470" t="s">
        <v>11</v>
      </c>
      <c r="F470">
        <v>5</v>
      </c>
      <c r="G470">
        <v>492</v>
      </c>
      <c r="H470">
        <v>2460</v>
      </c>
    </row>
    <row r="471" spans="1:8" x14ac:dyDescent="0.25">
      <c r="A471" t="s">
        <v>498</v>
      </c>
      <c r="B471" s="1">
        <v>45623</v>
      </c>
      <c r="C471" t="s">
        <v>499</v>
      </c>
      <c r="D471" t="s">
        <v>17</v>
      </c>
      <c r="E471" t="s">
        <v>14</v>
      </c>
      <c r="F471">
        <v>3</v>
      </c>
      <c r="G471">
        <v>820</v>
      </c>
      <c r="H471">
        <v>2460</v>
      </c>
    </row>
    <row r="472" spans="1:8" x14ac:dyDescent="0.25">
      <c r="A472" t="s">
        <v>1774</v>
      </c>
      <c r="B472" s="1">
        <v>45124</v>
      </c>
      <c r="C472" t="s">
        <v>1144</v>
      </c>
      <c r="D472" t="s">
        <v>20</v>
      </c>
      <c r="E472" t="s">
        <v>14</v>
      </c>
      <c r="F472">
        <v>4</v>
      </c>
      <c r="G472">
        <v>614</v>
      </c>
      <c r="H472">
        <v>2456</v>
      </c>
    </row>
    <row r="473" spans="1:8" x14ac:dyDescent="0.25">
      <c r="A473" t="s">
        <v>1705</v>
      </c>
      <c r="B473" s="1">
        <v>45388</v>
      </c>
      <c r="C473" t="s">
        <v>19</v>
      </c>
      <c r="D473" t="s">
        <v>27</v>
      </c>
      <c r="E473" t="s">
        <v>32</v>
      </c>
      <c r="F473">
        <v>3</v>
      </c>
      <c r="G473">
        <v>817</v>
      </c>
      <c r="H473">
        <v>2451</v>
      </c>
    </row>
    <row r="474" spans="1:8" x14ac:dyDescent="0.25">
      <c r="A474" t="s">
        <v>122</v>
      </c>
      <c r="B474" s="1">
        <v>45420</v>
      </c>
      <c r="C474" t="s">
        <v>123</v>
      </c>
      <c r="D474" t="s">
        <v>27</v>
      </c>
      <c r="E474" t="s">
        <v>35</v>
      </c>
      <c r="F474">
        <v>4</v>
      </c>
      <c r="G474">
        <v>611</v>
      </c>
      <c r="H474">
        <v>2444</v>
      </c>
    </row>
    <row r="475" spans="1:8" x14ac:dyDescent="0.25">
      <c r="A475" t="s">
        <v>1658</v>
      </c>
      <c r="B475" s="1">
        <v>45211</v>
      </c>
      <c r="C475" t="s">
        <v>380</v>
      </c>
      <c r="D475" t="s">
        <v>17</v>
      </c>
      <c r="E475" t="s">
        <v>25</v>
      </c>
      <c r="F475">
        <v>4</v>
      </c>
      <c r="G475">
        <v>611</v>
      </c>
      <c r="H475">
        <v>2444</v>
      </c>
    </row>
    <row r="476" spans="1:8" x14ac:dyDescent="0.25">
      <c r="A476" t="s">
        <v>75</v>
      </c>
      <c r="B476" s="1">
        <v>45544</v>
      </c>
      <c r="C476" t="s">
        <v>76</v>
      </c>
      <c r="D476" t="s">
        <v>17</v>
      </c>
      <c r="E476" t="s">
        <v>32</v>
      </c>
      <c r="F476">
        <v>4</v>
      </c>
      <c r="G476">
        <v>610</v>
      </c>
      <c r="H476">
        <v>2440</v>
      </c>
    </row>
    <row r="477" spans="1:8" x14ac:dyDescent="0.25">
      <c r="A477" t="s">
        <v>873</v>
      </c>
      <c r="B477" s="1">
        <v>45561</v>
      </c>
      <c r="C477" t="s">
        <v>874</v>
      </c>
      <c r="D477" t="s">
        <v>10</v>
      </c>
      <c r="E477" t="s">
        <v>25</v>
      </c>
      <c r="F477">
        <v>3</v>
      </c>
      <c r="G477">
        <v>812</v>
      </c>
      <c r="H477">
        <v>2436</v>
      </c>
    </row>
    <row r="478" spans="1:8" x14ac:dyDescent="0.25">
      <c r="A478" t="s">
        <v>1784</v>
      </c>
      <c r="B478" s="1">
        <v>45150</v>
      </c>
      <c r="C478" t="s">
        <v>527</v>
      </c>
      <c r="D478" t="s">
        <v>27</v>
      </c>
      <c r="E478" t="s">
        <v>32</v>
      </c>
      <c r="F478">
        <v>4</v>
      </c>
      <c r="G478">
        <v>609</v>
      </c>
      <c r="H478">
        <v>2436</v>
      </c>
    </row>
    <row r="479" spans="1:8" x14ac:dyDescent="0.25">
      <c r="A479" t="s">
        <v>1048</v>
      </c>
      <c r="B479" s="1">
        <v>45270</v>
      </c>
      <c r="C479" t="s">
        <v>130</v>
      </c>
      <c r="D479" t="s">
        <v>27</v>
      </c>
      <c r="E479" t="s">
        <v>32</v>
      </c>
      <c r="F479">
        <v>5</v>
      </c>
      <c r="G479">
        <v>484</v>
      </c>
      <c r="H479">
        <v>2420</v>
      </c>
    </row>
    <row r="480" spans="1:8" x14ac:dyDescent="0.25">
      <c r="A480" t="s">
        <v>1211</v>
      </c>
      <c r="B480" s="1">
        <v>45242</v>
      </c>
      <c r="C480" t="s">
        <v>1090</v>
      </c>
      <c r="D480" t="s">
        <v>17</v>
      </c>
      <c r="E480" t="s">
        <v>25</v>
      </c>
      <c r="F480">
        <v>3</v>
      </c>
      <c r="G480">
        <v>806</v>
      </c>
      <c r="H480">
        <v>2418</v>
      </c>
    </row>
    <row r="481" spans="1:8" x14ac:dyDescent="0.25">
      <c r="A481" t="s">
        <v>965</v>
      </c>
      <c r="B481" s="1">
        <v>45586</v>
      </c>
      <c r="C481" t="s">
        <v>551</v>
      </c>
      <c r="D481" t="s">
        <v>10</v>
      </c>
      <c r="E481" t="s">
        <v>25</v>
      </c>
      <c r="F481">
        <v>5</v>
      </c>
      <c r="G481">
        <v>482</v>
      </c>
      <c r="H481">
        <v>2410</v>
      </c>
    </row>
    <row r="482" spans="1:8" x14ac:dyDescent="0.25">
      <c r="A482" t="s">
        <v>1013</v>
      </c>
      <c r="B482" s="1">
        <v>45129</v>
      </c>
      <c r="C482" t="s">
        <v>442</v>
      </c>
      <c r="D482" t="s">
        <v>20</v>
      </c>
      <c r="E482" t="s">
        <v>14</v>
      </c>
      <c r="F482">
        <v>4</v>
      </c>
      <c r="G482">
        <v>602</v>
      </c>
      <c r="H482">
        <v>2408</v>
      </c>
    </row>
    <row r="483" spans="1:8" x14ac:dyDescent="0.25">
      <c r="A483" t="s">
        <v>595</v>
      </c>
      <c r="B483" s="1">
        <v>44949</v>
      </c>
      <c r="C483" t="s">
        <v>284</v>
      </c>
      <c r="D483" t="s">
        <v>10</v>
      </c>
      <c r="E483" t="s">
        <v>32</v>
      </c>
      <c r="F483">
        <v>4</v>
      </c>
      <c r="G483">
        <v>601</v>
      </c>
      <c r="H483">
        <v>2404</v>
      </c>
    </row>
    <row r="484" spans="1:8" x14ac:dyDescent="0.25">
      <c r="A484" t="s">
        <v>1165</v>
      </c>
      <c r="B484" s="1">
        <v>44949</v>
      </c>
      <c r="C484" t="s">
        <v>185</v>
      </c>
      <c r="D484" t="s">
        <v>17</v>
      </c>
      <c r="E484" t="s">
        <v>25</v>
      </c>
      <c r="F484">
        <v>4</v>
      </c>
      <c r="G484">
        <v>601</v>
      </c>
      <c r="H484">
        <v>2404</v>
      </c>
    </row>
    <row r="485" spans="1:8" x14ac:dyDescent="0.25">
      <c r="A485" t="s">
        <v>273</v>
      </c>
      <c r="B485" s="1">
        <v>45183</v>
      </c>
      <c r="C485" t="s">
        <v>94</v>
      </c>
      <c r="D485" t="s">
        <v>17</v>
      </c>
      <c r="E485" t="s">
        <v>35</v>
      </c>
      <c r="F485">
        <v>2</v>
      </c>
      <c r="G485">
        <v>1199</v>
      </c>
      <c r="H485">
        <v>2398</v>
      </c>
    </row>
    <row r="486" spans="1:8" x14ac:dyDescent="0.25">
      <c r="A486" t="s">
        <v>1117</v>
      </c>
      <c r="B486" s="1">
        <v>45126</v>
      </c>
      <c r="C486" t="s">
        <v>704</v>
      </c>
      <c r="D486" t="s">
        <v>27</v>
      </c>
      <c r="E486" t="s">
        <v>35</v>
      </c>
      <c r="F486">
        <v>3</v>
      </c>
      <c r="G486">
        <v>799</v>
      </c>
      <c r="H486">
        <v>2397</v>
      </c>
    </row>
    <row r="487" spans="1:8" x14ac:dyDescent="0.25">
      <c r="A487" t="s">
        <v>1065</v>
      </c>
      <c r="B487" s="1">
        <v>45032</v>
      </c>
      <c r="C487" t="s">
        <v>1066</v>
      </c>
      <c r="D487" t="s">
        <v>17</v>
      </c>
      <c r="E487" t="s">
        <v>11</v>
      </c>
      <c r="F487">
        <v>3</v>
      </c>
      <c r="G487">
        <v>798</v>
      </c>
      <c r="H487">
        <v>2394</v>
      </c>
    </row>
    <row r="488" spans="1:8" x14ac:dyDescent="0.25">
      <c r="A488" t="s">
        <v>1613</v>
      </c>
      <c r="B488" s="1">
        <v>45240</v>
      </c>
      <c r="C488" t="s">
        <v>246</v>
      </c>
      <c r="D488" t="s">
        <v>10</v>
      </c>
      <c r="E488" t="s">
        <v>35</v>
      </c>
      <c r="F488">
        <v>3</v>
      </c>
      <c r="G488">
        <v>798</v>
      </c>
      <c r="H488">
        <v>2394</v>
      </c>
    </row>
    <row r="489" spans="1:8" x14ac:dyDescent="0.25">
      <c r="A489" t="s">
        <v>674</v>
      </c>
      <c r="B489" s="1">
        <v>45608</v>
      </c>
      <c r="C489" t="s">
        <v>675</v>
      </c>
      <c r="D489" t="s">
        <v>20</v>
      </c>
      <c r="E489" t="s">
        <v>25</v>
      </c>
      <c r="F489">
        <v>4</v>
      </c>
      <c r="G489">
        <v>598</v>
      </c>
      <c r="H489">
        <v>2392</v>
      </c>
    </row>
    <row r="490" spans="1:8" x14ac:dyDescent="0.25">
      <c r="A490" t="s">
        <v>1130</v>
      </c>
      <c r="B490" s="1">
        <v>45227</v>
      </c>
      <c r="C490" t="s">
        <v>209</v>
      </c>
      <c r="D490" t="s">
        <v>17</v>
      </c>
      <c r="E490" t="s">
        <v>11</v>
      </c>
      <c r="F490">
        <v>4</v>
      </c>
      <c r="G490">
        <v>597</v>
      </c>
      <c r="H490">
        <v>2388</v>
      </c>
    </row>
    <row r="491" spans="1:8" x14ac:dyDescent="0.25">
      <c r="A491" t="s">
        <v>1402</v>
      </c>
      <c r="B491" s="1">
        <v>44973</v>
      </c>
      <c r="C491" t="s">
        <v>761</v>
      </c>
      <c r="D491" t="s">
        <v>27</v>
      </c>
      <c r="E491" t="s">
        <v>14</v>
      </c>
      <c r="F491">
        <v>5</v>
      </c>
      <c r="G491">
        <v>477</v>
      </c>
      <c r="H491">
        <v>2385</v>
      </c>
    </row>
    <row r="492" spans="1:8" x14ac:dyDescent="0.25">
      <c r="A492" t="s">
        <v>1061</v>
      </c>
      <c r="B492" s="1">
        <v>44963</v>
      </c>
      <c r="C492" t="s">
        <v>76</v>
      </c>
      <c r="D492" t="s">
        <v>27</v>
      </c>
      <c r="E492" t="s">
        <v>25</v>
      </c>
      <c r="F492">
        <v>2</v>
      </c>
      <c r="G492">
        <v>1191</v>
      </c>
      <c r="H492">
        <v>2382</v>
      </c>
    </row>
    <row r="493" spans="1:8" x14ac:dyDescent="0.25">
      <c r="A493" t="s">
        <v>779</v>
      </c>
      <c r="B493" s="1">
        <v>45019</v>
      </c>
      <c r="C493" t="s">
        <v>45</v>
      </c>
      <c r="D493" t="s">
        <v>17</v>
      </c>
      <c r="E493" t="s">
        <v>11</v>
      </c>
      <c r="F493">
        <v>4</v>
      </c>
      <c r="G493">
        <v>595</v>
      </c>
      <c r="H493">
        <v>2380</v>
      </c>
    </row>
    <row r="494" spans="1:8" x14ac:dyDescent="0.25">
      <c r="A494" t="s">
        <v>1148</v>
      </c>
      <c r="B494" s="1">
        <v>45477</v>
      </c>
      <c r="C494" t="s">
        <v>657</v>
      </c>
      <c r="D494" t="s">
        <v>27</v>
      </c>
      <c r="E494" t="s">
        <v>25</v>
      </c>
      <c r="F494">
        <v>4</v>
      </c>
      <c r="G494">
        <v>595</v>
      </c>
      <c r="H494">
        <v>2380</v>
      </c>
    </row>
    <row r="495" spans="1:8" x14ac:dyDescent="0.25">
      <c r="A495" t="s">
        <v>1208</v>
      </c>
      <c r="B495" s="1">
        <v>45038</v>
      </c>
      <c r="C495" t="s">
        <v>298</v>
      </c>
      <c r="D495" t="s">
        <v>27</v>
      </c>
      <c r="E495" t="s">
        <v>25</v>
      </c>
      <c r="F495">
        <v>2</v>
      </c>
      <c r="G495">
        <v>1190</v>
      </c>
      <c r="H495">
        <v>2380</v>
      </c>
    </row>
    <row r="496" spans="1:8" x14ac:dyDescent="0.25">
      <c r="A496" t="s">
        <v>305</v>
      </c>
      <c r="B496" s="1">
        <v>45361</v>
      </c>
      <c r="C496" t="s">
        <v>306</v>
      </c>
      <c r="D496" t="s">
        <v>27</v>
      </c>
      <c r="E496" t="s">
        <v>25</v>
      </c>
      <c r="F496">
        <v>2</v>
      </c>
      <c r="G496">
        <v>1189</v>
      </c>
      <c r="H496">
        <v>2378</v>
      </c>
    </row>
    <row r="497" spans="1:8" x14ac:dyDescent="0.25">
      <c r="A497" t="s">
        <v>464</v>
      </c>
      <c r="B497" s="1">
        <v>45124</v>
      </c>
      <c r="C497" t="s">
        <v>309</v>
      </c>
      <c r="D497" t="s">
        <v>17</v>
      </c>
      <c r="E497" t="s">
        <v>25</v>
      </c>
      <c r="F497">
        <v>3</v>
      </c>
      <c r="G497">
        <v>792</v>
      </c>
      <c r="H497">
        <v>2376</v>
      </c>
    </row>
    <row r="498" spans="1:8" x14ac:dyDescent="0.25">
      <c r="A498" t="s">
        <v>708</v>
      </c>
      <c r="B498" s="1">
        <v>44935</v>
      </c>
      <c r="C498" t="s">
        <v>187</v>
      </c>
      <c r="D498" t="s">
        <v>27</v>
      </c>
      <c r="E498" t="s">
        <v>32</v>
      </c>
      <c r="F498">
        <v>3</v>
      </c>
      <c r="G498">
        <v>792</v>
      </c>
      <c r="H498">
        <v>2376</v>
      </c>
    </row>
    <row r="499" spans="1:8" x14ac:dyDescent="0.25">
      <c r="A499" t="s">
        <v>692</v>
      </c>
      <c r="B499" s="1">
        <v>45321</v>
      </c>
      <c r="C499" t="s">
        <v>471</v>
      </c>
      <c r="D499" t="s">
        <v>10</v>
      </c>
      <c r="E499" t="s">
        <v>11</v>
      </c>
      <c r="F499">
        <v>5</v>
      </c>
      <c r="G499">
        <v>475</v>
      </c>
      <c r="H499">
        <v>2375</v>
      </c>
    </row>
    <row r="500" spans="1:8" x14ac:dyDescent="0.25">
      <c r="A500" t="s">
        <v>188</v>
      </c>
      <c r="B500" s="1">
        <v>44984</v>
      </c>
      <c r="C500" t="s">
        <v>189</v>
      </c>
      <c r="D500" t="s">
        <v>20</v>
      </c>
      <c r="E500" t="s">
        <v>32</v>
      </c>
      <c r="F500">
        <v>4</v>
      </c>
      <c r="G500">
        <v>593</v>
      </c>
      <c r="H500">
        <v>2372</v>
      </c>
    </row>
    <row r="501" spans="1:8" x14ac:dyDescent="0.25">
      <c r="A501" t="s">
        <v>666</v>
      </c>
      <c r="B501" s="1">
        <v>45312</v>
      </c>
      <c r="C501" t="s">
        <v>47</v>
      </c>
      <c r="D501" t="s">
        <v>17</v>
      </c>
      <c r="E501" t="s">
        <v>11</v>
      </c>
      <c r="F501">
        <v>5</v>
      </c>
      <c r="G501">
        <v>474</v>
      </c>
      <c r="H501">
        <v>2370</v>
      </c>
    </row>
    <row r="502" spans="1:8" x14ac:dyDescent="0.25">
      <c r="A502" t="s">
        <v>833</v>
      </c>
      <c r="B502" s="1">
        <v>45344</v>
      </c>
      <c r="C502" t="s">
        <v>398</v>
      </c>
      <c r="D502" t="s">
        <v>27</v>
      </c>
      <c r="E502" t="s">
        <v>35</v>
      </c>
      <c r="F502">
        <v>3</v>
      </c>
      <c r="G502">
        <v>789</v>
      </c>
      <c r="H502">
        <v>2367</v>
      </c>
    </row>
    <row r="503" spans="1:8" x14ac:dyDescent="0.25">
      <c r="A503" t="s">
        <v>1477</v>
      </c>
      <c r="B503" s="1">
        <v>45084</v>
      </c>
      <c r="C503" t="s">
        <v>642</v>
      </c>
      <c r="D503" t="s">
        <v>20</v>
      </c>
      <c r="E503" t="s">
        <v>11</v>
      </c>
      <c r="F503">
        <v>2</v>
      </c>
      <c r="G503">
        <v>1183</v>
      </c>
      <c r="H503">
        <v>2366</v>
      </c>
    </row>
    <row r="504" spans="1:8" x14ac:dyDescent="0.25">
      <c r="A504" t="s">
        <v>1229</v>
      </c>
      <c r="B504" s="1">
        <v>45177</v>
      </c>
      <c r="C504" t="s">
        <v>39</v>
      </c>
      <c r="D504" t="s">
        <v>17</v>
      </c>
      <c r="E504" t="s">
        <v>14</v>
      </c>
      <c r="F504">
        <v>3</v>
      </c>
      <c r="G504">
        <v>786</v>
      </c>
      <c r="H504">
        <v>2358</v>
      </c>
    </row>
    <row r="505" spans="1:8" x14ac:dyDescent="0.25">
      <c r="A505" t="s">
        <v>1231</v>
      </c>
      <c r="B505" s="1">
        <v>45525</v>
      </c>
      <c r="C505" t="s">
        <v>268</v>
      </c>
      <c r="D505" t="s">
        <v>27</v>
      </c>
      <c r="E505" t="s">
        <v>35</v>
      </c>
      <c r="F505">
        <v>4</v>
      </c>
      <c r="G505">
        <v>588</v>
      </c>
      <c r="H505">
        <v>2352</v>
      </c>
    </row>
    <row r="506" spans="1:8" x14ac:dyDescent="0.25">
      <c r="A506" t="s">
        <v>1588</v>
      </c>
      <c r="B506" s="1">
        <v>45298</v>
      </c>
      <c r="C506" t="s">
        <v>1426</v>
      </c>
      <c r="D506" t="s">
        <v>10</v>
      </c>
      <c r="E506" t="s">
        <v>35</v>
      </c>
      <c r="F506">
        <v>3</v>
      </c>
      <c r="G506">
        <v>780</v>
      </c>
      <c r="H506">
        <v>2340</v>
      </c>
    </row>
    <row r="507" spans="1:8" x14ac:dyDescent="0.25">
      <c r="A507" t="s">
        <v>1177</v>
      </c>
      <c r="B507" s="1">
        <v>45406</v>
      </c>
      <c r="C507" t="s">
        <v>737</v>
      </c>
      <c r="D507" t="s">
        <v>17</v>
      </c>
      <c r="E507" t="s">
        <v>35</v>
      </c>
      <c r="F507">
        <v>3</v>
      </c>
      <c r="G507">
        <v>779</v>
      </c>
      <c r="H507">
        <v>2337</v>
      </c>
    </row>
    <row r="508" spans="1:8" x14ac:dyDescent="0.25">
      <c r="A508" t="s">
        <v>655</v>
      </c>
      <c r="B508" s="1">
        <v>45294</v>
      </c>
      <c r="C508" t="s">
        <v>406</v>
      </c>
      <c r="D508" t="s">
        <v>20</v>
      </c>
      <c r="E508" t="s">
        <v>25</v>
      </c>
      <c r="F508">
        <v>4</v>
      </c>
      <c r="G508">
        <v>584</v>
      </c>
      <c r="H508">
        <v>2336</v>
      </c>
    </row>
    <row r="509" spans="1:8" x14ac:dyDescent="0.25">
      <c r="A509" t="s">
        <v>318</v>
      </c>
      <c r="B509" s="1">
        <v>45263</v>
      </c>
      <c r="C509" t="s">
        <v>292</v>
      </c>
      <c r="D509" t="s">
        <v>10</v>
      </c>
      <c r="E509" t="s">
        <v>25</v>
      </c>
      <c r="F509">
        <v>5</v>
      </c>
      <c r="G509">
        <v>467</v>
      </c>
      <c r="H509">
        <v>2335</v>
      </c>
    </row>
    <row r="510" spans="1:8" x14ac:dyDescent="0.25">
      <c r="A510" t="s">
        <v>1296</v>
      </c>
      <c r="B510" s="1">
        <v>45367</v>
      </c>
      <c r="C510" t="s">
        <v>1144</v>
      </c>
      <c r="D510" t="s">
        <v>17</v>
      </c>
      <c r="E510" t="s">
        <v>14</v>
      </c>
      <c r="F510">
        <v>5</v>
      </c>
      <c r="G510">
        <v>467</v>
      </c>
      <c r="H510">
        <v>2335</v>
      </c>
    </row>
    <row r="511" spans="1:8" x14ac:dyDescent="0.25">
      <c r="A511" t="s">
        <v>930</v>
      </c>
      <c r="B511" s="1">
        <v>45288</v>
      </c>
      <c r="C511" t="s">
        <v>432</v>
      </c>
      <c r="D511" t="s">
        <v>27</v>
      </c>
      <c r="E511" t="s">
        <v>25</v>
      </c>
      <c r="F511">
        <v>2</v>
      </c>
      <c r="G511">
        <v>1166</v>
      </c>
      <c r="H511">
        <v>2332</v>
      </c>
    </row>
    <row r="512" spans="1:8" x14ac:dyDescent="0.25">
      <c r="A512" t="s">
        <v>1398</v>
      </c>
      <c r="B512" s="1">
        <v>45251</v>
      </c>
      <c r="C512" t="s">
        <v>261</v>
      </c>
      <c r="D512" t="s">
        <v>20</v>
      </c>
      <c r="E512" t="s">
        <v>35</v>
      </c>
      <c r="F512">
        <v>4</v>
      </c>
      <c r="G512">
        <v>583</v>
      </c>
      <c r="H512">
        <v>2332</v>
      </c>
    </row>
    <row r="513" spans="1:8" x14ac:dyDescent="0.25">
      <c r="A513" t="s">
        <v>723</v>
      </c>
      <c r="B513" s="1">
        <v>45021</v>
      </c>
      <c r="C513" t="s">
        <v>320</v>
      </c>
      <c r="D513" t="s">
        <v>10</v>
      </c>
      <c r="E513" t="s">
        <v>25</v>
      </c>
      <c r="F513">
        <v>3</v>
      </c>
      <c r="G513">
        <v>777</v>
      </c>
      <c r="H513">
        <v>2331</v>
      </c>
    </row>
    <row r="514" spans="1:8" x14ac:dyDescent="0.25">
      <c r="A514" t="s">
        <v>139</v>
      </c>
      <c r="B514" s="1">
        <v>45387</v>
      </c>
      <c r="C514" t="s">
        <v>140</v>
      </c>
      <c r="D514" t="s">
        <v>20</v>
      </c>
      <c r="E514" t="s">
        <v>14</v>
      </c>
      <c r="F514">
        <v>3</v>
      </c>
      <c r="G514">
        <v>775</v>
      </c>
      <c r="H514">
        <v>2325</v>
      </c>
    </row>
    <row r="515" spans="1:8" x14ac:dyDescent="0.25">
      <c r="A515" t="s">
        <v>632</v>
      </c>
      <c r="B515" s="1">
        <v>45090</v>
      </c>
      <c r="C515" t="s">
        <v>633</v>
      </c>
      <c r="D515" t="s">
        <v>17</v>
      </c>
      <c r="E515" t="s">
        <v>11</v>
      </c>
      <c r="F515">
        <v>3</v>
      </c>
      <c r="G515">
        <v>775</v>
      </c>
      <c r="H515">
        <v>2325</v>
      </c>
    </row>
    <row r="516" spans="1:8" x14ac:dyDescent="0.25">
      <c r="A516" t="s">
        <v>1196</v>
      </c>
      <c r="B516" s="1">
        <v>45240</v>
      </c>
      <c r="C516" t="s">
        <v>706</v>
      </c>
      <c r="D516" t="s">
        <v>17</v>
      </c>
      <c r="E516" t="s">
        <v>35</v>
      </c>
      <c r="F516">
        <v>3</v>
      </c>
      <c r="G516">
        <v>775</v>
      </c>
      <c r="H516">
        <v>2325</v>
      </c>
    </row>
    <row r="517" spans="1:8" x14ac:dyDescent="0.25">
      <c r="A517" t="s">
        <v>1752</v>
      </c>
      <c r="B517" s="1">
        <v>45177</v>
      </c>
      <c r="C517" t="s">
        <v>39</v>
      </c>
      <c r="D517" t="s">
        <v>10</v>
      </c>
      <c r="E517" t="s">
        <v>25</v>
      </c>
      <c r="F517">
        <v>2</v>
      </c>
      <c r="G517">
        <v>1162</v>
      </c>
      <c r="H517">
        <v>2324</v>
      </c>
    </row>
    <row r="518" spans="1:8" x14ac:dyDescent="0.25">
      <c r="A518" t="s">
        <v>489</v>
      </c>
      <c r="B518" s="1">
        <v>45054</v>
      </c>
      <c r="C518" t="s">
        <v>490</v>
      </c>
      <c r="D518" t="s">
        <v>27</v>
      </c>
      <c r="E518" t="s">
        <v>25</v>
      </c>
      <c r="F518">
        <v>2</v>
      </c>
      <c r="G518">
        <v>1160</v>
      </c>
      <c r="H518">
        <v>2320</v>
      </c>
    </row>
    <row r="519" spans="1:8" x14ac:dyDescent="0.25">
      <c r="A519" t="s">
        <v>782</v>
      </c>
      <c r="B519" s="1">
        <v>45477</v>
      </c>
      <c r="C519" t="s">
        <v>223</v>
      </c>
      <c r="D519" t="s">
        <v>20</v>
      </c>
      <c r="E519" t="s">
        <v>14</v>
      </c>
      <c r="F519">
        <v>5</v>
      </c>
      <c r="G519">
        <v>464</v>
      </c>
      <c r="H519">
        <v>2320</v>
      </c>
    </row>
    <row r="520" spans="1:8" x14ac:dyDescent="0.25">
      <c r="A520" t="s">
        <v>1663</v>
      </c>
      <c r="B520" s="1">
        <v>45337</v>
      </c>
      <c r="C520" t="s">
        <v>644</v>
      </c>
      <c r="D520" t="s">
        <v>20</v>
      </c>
      <c r="E520" t="s">
        <v>35</v>
      </c>
      <c r="F520">
        <v>5</v>
      </c>
      <c r="G520">
        <v>464</v>
      </c>
      <c r="H520">
        <v>2320</v>
      </c>
    </row>
    <row r="521" spans="1:8" x14ac:dyDescent="0.25">
      <c r="A521" t="s">
        <v>1035</v>
      </c>
      <c r="B521" s="1">
        <v>45458</v>
      </c>
      <c r="C521" t="s">
        <v>51</v>
      </c>
      <c r="D521" t="s">
        <v>10</v>
      </c>
      <c r="E521" t="s">
        <v>35</v>
      </c>
      <c r="F521">
        <v>3</v>
      </c>
      <c r="G521">
        <v>772</v>
      </c>
      <c r="H521">
        <v>2316</v>
      </c>
    </row>
    <row r="522" spans="1:8" x14ac:dyDescent="0.25">
      <c r="A522" t="s">
        <v>1406</v>
      </c>
      <c r="B522" s="1">
        <v>45414</v>
      </c>
      <c r="C522" t="s">
        <v>322</v>
      </c>
      <c r="D522" t="s">
        <v>17</v>
      </c>
      <c r="E522" t="s">
        <v>35</v>
      </c>
      <c r="F522">
        <v>4</v>
      </c>
      <c r="G522">
        <v>579</v>
      </c>
      <c r="H522">
        <v>2316</v>
      </c>
    </row>
    <row r="523" spans="1:8" x14ac:dyDescent="0.25">
      <c r="A523" t="s">
        <v>414</v>
      </c>
      <c r="B523" s="1">
        <v>45354</v>
      </c>
      <c r="C523" t="s">
        <v>216</v>
      </c>
      <c r="D523" t="s">
        <v>17</v>
      </c>
      <c r="E523" t="s">
        <v>14</v>
      </c>
      <c r="F523">
        <v>5</v>
      </c>
      <c r="G523">
        <v>463</v>
      </c>
      <c r="H523">
        <v>2315</v>
      </c>
    </row>
    <row r="524" spans="1:8" x14ac:dyDescent="0.25">
      <c r="A524" t="s">
        <v>54</v>
      </c>
      <c r="B524" s="1">
        <v>45045</v>
      </c>
      <c r="C524" t="s">
        <v>55</v>
      </c>
      <c r="D524" t="s">
        <v>20</v>
      </c>
      <c r="E524" t="s">
        <v>32</v>
      </c>
      <c r="F524">
        <v>2</v>
      </c>
      <c r="G524">
        <v>1151</v>
      </c>
      <c r="H524">
        <v>2302</v>
      </c>
    </row>
    <row r="525" spans="1:8" x14ac:dyDescent="0.25">
      <c r="A525" t="s">
        <v>58</v>
      </c>
      <c r="B525" s="1">
        <v>45341</v>
      </c>
      <c r="C525" t="s">
        <v>59</v>
      </c>
      <c r="D525" t="s">
        <v>17</v>
      </c>
      <c r="E525" t="s">
        <v>11</v>
      </c>
      <c r="F525">
        <v>5</v>
      </c>
      <c r="G525">
        <v>460</v>
      </c>
      <c r="H525">
        <v>2300</v>
      </c>
    </row>
    <row r="526" spans="1:8" x14ac:dyDescent="0.25">
      <c r="A526" t="s">
        <v>643</v>
      </c>
      <c r="B526" s="1">
        <v>45114</v>
      </c>
      <c r="C526" t="s">
        <v>644</v>
      </c>
      <c r="D526" t="s">
        <v>20</v>
      </c>
      <c r="E526" t="s">
        <v>11</v>
      </c>
      <c r="F526">
        <v>5</v>
      </c>
      <c r="G526">
        <v>460</v>
      </c>
      <c r="H526">
        <v>2300</v>
      </c>
    </row>
    <row r="527" spans="1:8" x14ac:dyDescent="0.25">
      <c r="A527" t="s">
        <v>1639</v>
      </c>
      <c r="B527" s="1">
        <v>45621</v>
      </c>
      <c r="C527" t="s">
        <v>614</v>
      </c>
      <c r="D527" t="s">
        <v>27</v>
      </c>
      <c r="E527" t="s">
        <v>35</v>
      </c>
      <c r="F527">
        <v>2</v>
      </c>
      <c r="G527">
        <v>1148</v>
      </c>
      <c r="H527">
        <v>2296</v>
      </c>
    </row>
    <row r="528" spans="1:8" x14ac:dyDescent="0.25">
      <c r="A528" t="s">
        <v>1214</v>
      </c>
      <c r="B528" s="1">
        <v>45468</v>
      </c>
      <c r="C528" t="s">
        <v>226</v>
      </c>
      <c r="D528" t="s">
        <v>10</v>
      </c>
      <c r="E528" t="s">
        <v>14</v>
      </c>
      <c r="F528">
        <v>5</v>
      </c>
      <c r="G528">
        <v>459</v>
      </c>
      <c r="H528">
        <v>2295</v>
      </c>
    </row>
    <row r="529" spans="1:8" x14ac:dyDescent="0.25">
      <c r="A529" t="s">
        <v>207</v>
      </c>
      <c r="B529" s="1">
        <v>45071</v>
      </c>
      <c r="C529" t="s">
        <v>189</v>
      </c>
      <c r="D529" t="s">
        <v>10</v>
      </c>
      <c r="E529" t="s">
        <v>25</v>
      </c>
      <c r="F529">
        <v>2</v>
      </c>
      <c r="G529">
        <v>1147</v>
      </c>
      <c r="H529">
        <v>2294</v>
      </c>
    </row>
    <row r="530" spans="1:8" x14ac:dyDescent="0.25">
      <c r="A530" t="s">
        <v>1170</v>
      </c>
      <c r="B530" s="1">
        <v>45276</v>
      </c>
      <c r="C530" t="s">
        <v>31</v>
      </c>
      <c r="D530" t="s">
        <v>10</v>
      </c>
      <c r="E530" t="s">
        <v>25</v>
      </c>
      <c r="F530">
        <v>4</v>
      </c>
      <c r="G530">
        <v>573</v>
      </c>
      <c r="H530">
        <v>2292</v>
      </c>
    </row>
    <row r="531" spans="1:8" x14ac:dyDescent="0.25">
      <c r="A531" t="s">
        <v>826</v>
      </c>
      <c r="B531" s="1">
        <v>45323</v>
      </c>
      <c r="C531" t="s">
        <v>9</v>
      </c>
      <c r="D531" t="s">
        <v>20</v>
      </c>
      <c r="E531" t="s">
        <v>32</v>
      </c>
      <c r="F531">
        <v>2</v>
      </c>
      <c r="G531">
        <v>1143</v>
      </c>
      <c r="H531">
        <v>2286</v>
      </c>
    </row>
    <row r="532" spans="1:8" x14ac:dyDescent="0.25">
      <c r="A532" t="s">
        <v>645</v>
      </c>
      <c r="B532" s="1">
        <v>45183</v>
      </c>
      <c r="C532" t="s">
        <v>642</v>
      </c>
      <c r="D532" t="s">
        <v>27</v>
      </c>
      <c r="E532" t="s">
        <v>25</v>
      </c>
      <c r="F532">
        <v>2</v>
      </c>
      <c r="G532">
        <v>1142</v>
      </c>
      <c r="H532">
        <v>2284</v>
      </c>
    </row>
    <row r="533" spans="1:8" x14ac:dyDescent="0.25">
      <c r="A533" t="s">
        <v>1762</v>
      </c>
      <c r="B533" s="1">
        <v>45554</v>
      </c>
      <c r="C533" t="s">
        <v>47</v>
      </c>
      <c r="D533" t="s">
        <v>10</v>
      </c>
      <c r="E533" t="s">
        <v>11</v>
      </c>
      <c r="F533">
        <v>2</v>
      </c>
      <c r="G533">
        <v>1142</v>
      </c>
      <c r="H533">
        <v>2284</v>
      </c>
    </row>
    <row r="534" spans="1:8" x14ac:dyDescent="0.25">
      <c r="A534" t="s">
        <v>1197</v>
      </c>
      <c r="B534" s="1">
        <v>45626</v>
      </c>
      <c r="C534" t="s">
        <v>1158</v>
      </c>
      <c r="D534" t="s">
        <v>27</v>
      </c>
      <c r="E534" t="s">
        <v>32</v>
      </c>
      <c r="F534">
        <v>2</v>
      </c>
      <c r="G534">
        <v>1140</v>
      </c>
      <c r="H534">
        <v>2280</v>
      </c>
    </row>
    <row r="535" spans="1:8" x14ac:dyDescent="0.25">
      <c r="A535" t="s">
        <v>1776</v>
      </c>
      <c r="B535" s="1">
        <v>45394</v>
      </c>
      <c r="C535" t="s">
        <v>69</v>
      </c>
      <c r="D535" t="s">
        <v>10</v>
      </c>
      <c r="E535" t="s">
        <v>35</v>
      </c>
      <c r="F535">
        <v>3</v>
      </c>
      <c r="G535">
        <v>760</v>
      </c>
      <c r="H535">
        <v>2280</v>
      </c>
    </row>
    <row r="536" spans="1:8" x14ac:dyDescent="0.25">
      <c r="A536" t="s">
        <v>137</v>
      </c>
      <c r="B536" s="1">
        <v>45377</v>
      </c>
      <c r="C536" t="s">
        <v>138</v>
      </c>
      <c r="D536" t="s">
        <v>17</v>
      </c>
      <c r="E536" t="s">
        <v>11</v>
      </c>
      <c r="F536">
        <v>4</v>
      </c>
      <c r="G536">
        <v>569</v>
      </c>
      <c r="H536">
        <v>2276</v>
      </c>
    </row>
    <row r="537" spans="1:8" x14ac:dyDescent="0.25">
      <c r="A537" t="s">
        <v>112</v>
      </c>
      <c r="B537" s="1">
        <v>45038</v>
      </c>
      <c r="C537" t="s">
        <v>113</v>
      </c>
      <c r="D537" t="s">
        <v>20</v>
      </c>
      <c r="E537" t="s">
        <v>11</v>
      </c>
      <c r="F537">
        <v>2</v>
      </c>
      <c r="G537">
        <v>1137</v>
      </c>
      <c r="H537">
        <v>2274</v>
      </c>
    </row>
    <row r="538" spans="1:8" x14ac:dyDescent="0.25">
      <c r="A538" t="s">
        <v>987</v>
      </c>
      <c r="B538" s="1">
        <v>45122</v>
      </c>
      <c r="C538" t="s">
        <v>373</v>
      </c>
      <c r="D538" t="s">
        <v>10</v>
      </c>
      <c r="E538" t="s">
        <v>14</v>
      </c>
      <c r="F538">
        <v>3</v>
      </c>
      <c r="G538">
        <v>758</v>
      </c>
      <c r="H538">
        <v>2274</v>
      </c>
    </row>
    <row r="539" spans="1:8" x14ac:dyDescent="0.25">
      <c r="A539" t="s">
        <v>218</v>
      </c>
      <c r="B539" s="1">
        <v>45051</v>
      </c>
      <c r="C539" t="s">
        <v>219</v>
      </c>
      <c r="D539" t="s">
        <v>10</v>
      </c>
      <c r="E539" t="s">
        <v>25</v>
      </c>
      <c r="F539">
        <v>2</v>
      </c>
      <c r="G539">
        <v>1135</v>
      </c>
      <c r="H539">
        <v>2270</v>
      </c>
    </row>
    <row r="540" spans="1:8" x14ac:dyDescent="0.25">
      <c r="A540" t="s">
        <v>1301</v>
      </c>
      <c r="B540" s="1">
        <v>45354</v>
      </c>
      <c r="C540" t="s">
        <v>29</v>
      </c>
      <c r="D540" t="s">
        <v>17</v>
      </c>
      <c r="E540" t="s">
        <v>11</v>
      </c>
      <c r="F540">
        <v>3</v>
      </c>
      <c r="G540">
        <v>756</v>
      </c>
      <c r="H540">
        <v>2268</v>
      </c>
    </row>
    <row r="541" spans="1:8" x14ac:dyDescent="0.25">
      <c r="A541" t="s">
        <v>1317</v>
      </c>
      <c r="B541" s="1">
        <v>45002</v>
      </c>
      <c r="C541" t="s">
        <v>463</v>
      </c>
      <c r="D541" t="s">
        <v>20</v>
      </c>
      <c r="E541" t="s">
        <v>32</v>
      </c>
      <c r="F541">
        <v>5</v>
      </c>
      <c r="G541">
        <v>453</v>
      </c>
      <c r="H541">
        <v>2265</v>
      </c>
    </row>
    <row r="542" spans="1:8" x14ac:dyDescent="0.25">
      <c r="A542" t="s">
        <v>204</v>
      </c>
      <c r="B542" s="1">
        <v>45461</v>
      </c>
      <c r="C542" t="s">
        <v>78</v>
      </c>
      <c r="D542" t="s">
        <v>17</v>
      </c>
      <c r="E542" t="s">
        <v>11</v>
      </c>
      <c r="F542">
        <v>2</v>
      </c>
      <c r="G542">
        <v>1130</v>
      </c>
      <c r="H542">
        <v>2260</v>
      </c>
    </row>
    <row r="543" spans="1:8" x14ac:dyDescent="0.25">
      <c r="A543" t="s">
        <v>1498</v>
      </c>
      <c r="B543" s="1">
        <v>45532</v>
      </c>
      <c r="C543" t="s">
        <v>115</v>
      </c>
      <c r="D543" t="s">
        <v>17</v>
      </c>
      <c r="E543" t="s">
        <v>14</v>
      </c>
      <c r="F543">
        <v>2</v>
      </c>
      <c r="G543">
        <v>1125</v>
      </c>
      <c r="H543">
        <v>2250</v>
      </c>
    </row>
    <row r="544" spans="1:8" x14ac:dyDescent="0.25">
      <c r="A544" t="s">
        <v>1579</v>
      </c>
      <c r="B544" s="1">
        <v>45267</v>
      </c>
      <c r="C544" t="s">
        <v>320</v>
      </c>
      <c r="D544" t="s">
        <v>10</v>
      </c>
      <c r="E544" t="s">
        <v>32</v>
      </c>
      <c r="F544">
        <v>3</v>
      </c>
      <c r="G544">
        <v>750</v>
      </c>
      <c r="H544">
        <v>2250</v>
      </c>
    </row>
    <row r="545" spans="1:8" x14ac:dyDescent="0.25">
      <c r="A545" t="s">
        <v>532</v>
      </c>
      <c r="B545" s="1">
        <v>45097</v>
      </c>
      <c r="C545" t="s">
        <v>82</v>
      </c>
      <c r="D545" t="s">
        <v>27</v>
      </c>
      <c r="E545" t="s">
        <v>35</v>
      </c>
      <c r="F545">
        <v>2</v>
      </c>
      <c r="G545">
        <v>1122</v>
      </c>
      <c r="H545">
        <v>2244</v>
      </c>
    </row>
    <row r="546" spans="1:8" x14ac:dyDescent="0.25">
      <c r="A546" t="s">
        <v>1510</v>
      </c>
      <c r="B546" s="1">
        <v>45598</v>
      </c>
      <c r="C546" t="s">
        <v>197</v>
      </c>
      <c r="D546" t="s">
        <v>10</v>
      </c>
      <c r="E546" t="s">
        <v>35</v>
      </c>
      <c r="F546">
        <v>3</v>
      </c>
      <c r="G546">
        <v>748</v>
      </c>
      <c r="H546">
        <v>2244</v>
      </c>
    </row>
    <row r="547" spans="1:8" x14ac:dyDescent="0.25">
      <c r="A547" t="s">
        <v>33</v>
      </c>
      <c r="B547" s="1">
        <v>45311</v>
      </c>
      <c r="C547" t="s">
        <v>34</v>
      </c>
      <c r="D547" t="s">
        <v>20</v>
      </c>
      <c r="E547" t="s">
        <v>35</v>
      </c>
      <c r="F547">
        <v>5</v>
      </c>
      <c r="G547">
        <v>448</v>
      </c>
      <c r="H547">
        <v>2240</v>
      </c>
    </row>
    <row r="548" spans="1:8" x14ac:dyDescent="0.25">
      <c r="A548" t="s">
        <v>1547</v>
      </c>
      <c r="B548" s="1">
        <v>45253</v>
      </c>
      <c r="C548" t="s">
        <v>315</v>
      </c>
      <c r="D548" t="s">
        <v>10</v>
      </c>
      <c r="E548" t="s">
        <v>32</v>
      </c>
      <c r="F548">
        <v>2</v>
      </c>
      <c r="G548">
        <v>1117</v>
      </c>
      <c r="H548">
        <v>2234</v>
      </c>
    </row>
    <row r="549" spans="1:8" x14ac:dyDescent="0.25">
      <c r="A549" t="s">
        <v>1249</v>
      </c>
      <c r="B549" s="1">
        <v>45295</v>
      </c>
      <c r="C549" t="s">
        <v>109</v>
      </c>
      <c r="D549" t="s">
        <v>10</v>
      </c>
      <c r="E549" t="s">
        <v>25</v>
      </c>
      <c r="F549">
        <v>3</v>
      </c>
      <c r="G549">
        <v>743</v>
      </c>
      <c r="H549">
        <v>2229</v>
      </c>
    </row>
    <row r="550" spans="1:8" x14ac:dyDescent="0.25">
      <c r="A550" t="s">
        <v>727</v>
      </c>
      <c r="B550" s="1">
        <v>45181</v>
      </c>
      <c r="C550" t="s">
        <v>86</v>
      </c>
      <c r="D550" t="s">
        <v>20</v>
      </c>
      <c r="E550" t="s">
        <v>14</v>
      </c>
      <c r="F550">
        <v>2</v>
      </c>
      <c r="G550">
        <v>1114</v>
      </c>
      <c r="H550">
        <v>2228</v>
      </c>
    </row>
    <row r="551" spans="1:8" x14ac:dyDescent="0.25">
      <c r="A551" t="s">
        <v>1701</v>
      </c>
      <c r="B551" s="1">
        <v>44973</v>
      </c>
      <c r="C551" t="s">
        <v>574</v>
      </c>
      <c r="D551" t="s">
        <v>17</v>
      </c>
      <c r="E551" t="s">
        <v>14</v>
      </c>
      <c r="F551">
        <v>2</v>
      </c>
      <c r="G551">
        <v>1114</v>
      </c>
      <c r="H551">
        <v>2228</v>
      </c>
    </row>
    <row r="552" spans="1:8" x14ac:dyDescent="0.25">
      <c r="A552" t="s">
        <v>746</v>
      </c>
      <c r="B552" s="1">
        <v>45404</v>
      </c>
      <c r="C552" t="s">
        <v>88</v>
      </c>
      <c r="D552" t="s">
        <v>27</v>
      </c>
      <c r="E552" t="s">
        <v>32</v>
      </c>
      <c r="F552">
        <v>5</v>
      </c>
      <c r="G552">
        <v>443</v>
      </c>
      <c r="H552">
        <v>2215</v>
      </c>
    </row>
    <row r="553" spans="1:8" x14ac:dyDescent="0.25">
      <c r="A553" t="s">
        <v>1363</v>
      </c>
      <c r="B553" s="1">
        <v>45231</v>
      </c>
      <c r="C553" t="s">
        <v>132</v>
      </c>
      <c r="D553" t="s">
        <v>17</v>
      </c>
      <c r="E553" t="s">
        <v>11</v>
      </c>
      <c r="F553">
        <v>5</v>
      </c>
      <c r="G553">
        <v>443</v>
      </c>
      <c r="H553">
        <v>2215</v>
      </c>
    </row>
    <row r="554" spans="1:8" x14ac:dyDescent="0.25">
      <c r="A554" t="s">
        <v>224</v>
      </c>
      <c r="B554" s="1">
        <v>45064</v>
      </c>
      <c r="C554" t="s">
        <v>219</v>
      </c>
      <c r="D554" t="s">
        <v>27</v>
      </c>
      <c r="E554" t="s">
        <v>35</v>
      </c>
      <c r="F554">
        <v>2</v>
      </c>
      <c r="G554">
        <v>1104</v>
      </c>
      <c r="H554">
        <v>2208</v>
      </c>
    </row>
    <row r="555" spans="1:8" x14ac:dyDescent="0.25">
      <c r="A555" t="s">
        <v>1105</v>
      </c>
      <c r="B555" s="1">
        <v>45456</v>
      </c>
      <c r="C555" t="s">
        <v>272</v>
      </c>
      <c r="D555" t="s">
        <v>27</v>
      </c>
      <c r="E555" t="s">
        <v>32</v>
      </c>
      <c r="F555">
        <v>2</v>
      </c>
      <c r="G555">
        <v>1104</v>
      </c>
      <c r="H555">
        <v>2208</v>
      </c>
    </row>
    <row r="556" spans="1:8" x14ac:dyDescent="0.25">
      <c r="A556" t="s">
        <v>628</v>
      </c>
      <c r="B556" s="1">
        <v>45622</v>
      </c>
      <c r="C556" t="s">
        <v>19</v>
      </c>
      <c r="D556" t="s">
        <v>10</v>
      </c>
      <c r="E556" t="s">
        <v>32</v>
      </c>
      <c r="F556">
        <v>5</v>
      </c>
      <c r="G556">
        <v>441</v>
      </c>
      <c r="H556">
        <v>2205</v>
      </c>
    </row>
    <row r="557" spans="1:8" x14ac:dyDescent="0.25">
      <c r="A557" t="s">
        <v>608</v>
      </c>
      <c r="B557" s="1">
        <v>45522</v>
      </c>
      <c r="C557" t="s">
        <v>504</v>
      </c>
      <c r="D557" t="s">
        <v>17</v>
      </c>
      <c r="E557" t="s">
        <v>35</v>
      </c>
      <c r="F557">
        <v>3</v>
      </c>
      <c r="G557">
        <v>734</v>
      </c>
      <c r="H557">
        <v>2202</v>
      </c>
    </row>
    <row r="558" spans="1:8" x14ac:dyDescent="0.25">
      <c r="A558" t="s">
        <v>1188</v>
      </c>
      <c r="B558" s="1">
        <v>45583</v>
      </c>
      <c r="C558" t="s">
        <v>31</v>
      </c>
      <c r="D558" t="s">
        <v>27</v>
      </c>
      <c r="E558" t="s">
        <v>14</v>
      </c>
      <c r="F558">
        <v>3</v>
      </c>
      <c r="G558">
        <v>731</v>
      </c>
      <c r="H558">
        <v>2193</v>
      </c>
    </row>
    <row r="559" spans="1:8" x14ac:dyDescent="0.25">
      <c r="A559" t="s">
        <v>1267</v>
      </c>
      <c r="B559" s="1">
        <v>44974</v>
      </c>
      <c r="C559" t="s">
        <v>136</v>
      </c>
      <c r="D559" t="s">
        <v>27</v>
      </c>
      <c r="E559" t="s">
        <v>35</v>
      </c>
      <c r="F559">
        <v>2</v>
      </c>
      <c r="G559">
        <v>1094</v>
      </c>
      <c r="H559">
        <v>2188</v>
      </c>
    </row>
    <row r="560" spans="1:8" x14ac:dyDescent="0.25">
      <c r="A560" t="s">
        <v>433</v>
      </c>
      <c r="B560" s="1">
        <v>45571</v>
      </c>
      <c r="C560" t="s">
        <v>109</v>
      </c>
      <c r="D560" t="s">
        <v>17</v>
      </c>
      <c r="E560" t="s">
        <v>32</v>
      </c>
      <c r="F560">
        <v>3</v>
      </c>
      <c r="G560">
        <v>729</v>
      </c>
      <c r="H560">
        <v>2187</v>
      </c>
    </row>
    <row r="561" spans="1:8" x14ac:dyDescent="0.25">
      <c r="A561" t="s">
        <v>1665</v>
      </c>
      <c r="B561" s="1">
        <v>45384</v>
      </c>
      <c r="C561" t="s">
        <v>927</v>
      </c>
      <c r="D561" t="s">
        <v>27</v>
      </c>
      <c r="E561" t="s">
        <v>35</v>
      </c>
      <c r="F561">
        <v>3</v>
      </c>
      <c r="G561">
        <v>729</v>
      </c>
      <c r="H561">
        <v>2187</v>
      </c>
    </row>
    <row r="562" spans="1:8" x14ac:dyDescent="0.25">
      <c r="A562" t="s">
        <v>1734</v>
      </c>
      <c r="B562" s="1">
        <v>45218</v>
      </c>
      <c r="C562" t="s">
        <v>113</v>
      </c>
      <c r="D562" t="s">
        <v>20</v>
      </c>
      <c r="E562" t="s">
        <v>25</v>
      </c>
      <c r="F562">
        <v>2</v>
      </c>
      <c r="G562">
        <v>1092</v>
      </c>
      <c r="H562">
        <v>2184</v>
      </c>
    </row>
    <row r="563" spans="1:8" x14ac:dyDescent="0.25">
      <c r="A563" t="s">
        <v>814</v>
      </c>
      <c r="B563" s="1">
        <v>45425</v>
      </c>
      <c r="C563" t="s">
        <v>223</v>
      </c>
      <c r="D563" t="s">
        <v>10</v>
      </c>
      <c r="E563" t="s">
        <v>35</v>
      </c>
      <c r="F563">
        <v>2</v>
      </c>
      <c r="G563">
        <v>1091</v>
      </c>
      <c r="H563">
        <v>2182</v>
      </c>
    </row>
    <row r="564" spans="1:8" x14ac:dyDescent="0.25">
      <c r="A564" t="s">
        <v>1330</v>
      </c>
      <c r="B564" s="1">
        <v>45520</v>
      </c>
      <c r="C564" t="s">
        <v>125</v>
      </c>
      <c r="D564" t="s">
        <v>20</v>
      </c>
      <c r="E564" t="s">
        <v>32</v>
      </c>
      <c r="F564">
        <v>2</v>
      </c>
      <c r="G564">
        <v>1087</v>
      </c>
      <c r="H564">
        <v>2174</v>
      </c>
    </row>
    <row r="565" spans="1:8" x14ac:dyDescent="0.25">
      <c r="A565" t="s">
        <v>457</v>
      </c>
      <c r="B565" s="1">
        <v>45458</v>
      </c>
      <c r="C565" t="s">
        <v>63</v>
      </c>
      <c r="D565" t="s">
        <v>27</v>
      </c>
      <c r="E565" t="s">
        <v>14</v>
      </c>
      <c r="F565">
        <v>2</v>
      </c>
      <c r="G565">
        <v>1086</v>
      </c>
      <c r="H565">
        <v>2172</v>
      </c>
    </row>
    <row r="566" spans="1:8" x14ac:dyDescent="0.25">
      <c r="A566" t="s">
        <v>77</v>
      </c>
      <c r="B566" s="1">
        <v>44945</v>
      </c>
      <c r="C566" t="s">
        <v>78</v>
      </c>
      <c r="D566" t="s">
        <v>20</v>
      </c>
      <c r="E566" t="s">
        <v>35</v>
      </c>
      <c r="F566">
        <v>2</v>
      </c>
      <c r="G566">
        <v>1085</v>
      </c>
      <c r="H566">
        <v>2170</v>
      </c>
    </row>
    <row r="567" spans="1:8" x14ac:dyDescent="0.25">
      <c r="A567" t="s">
        <v>862</v>
      </c>
      <c r="B567" s="1">
        <v>44948</v>
      </c>
      <c r="C567" t="s">
        <v>214</v>
      </c>
      <c r="D567" t="s">
        <v>10</v>
      </c>
      <c r="E567" t="s">
        <v>11</v>
      </c>
      <c r="F567">
        <v>2</v>
      </c>
      <c r="G567">
        <v>1084</v>
      </c>
      <c r="H567">
        <v>2168</v>
      </c>
    </row>
    <row r="568" spans="1:8" x14ac:dyDescent="0.25">
      <c r="A568" t="s">
        <v>505</v>
      </c>
      <c r="B568" s="1">
        <v>45056</v>
      </c>
      <c r="C568" t="s">
        <v>289</v>
      </c>
      <c r="D568" t="s">
        <v>10</v>
      </c>
      <c r="E568" t="s">
        <v>14</v>
      </c>
      <c r="F568">
        <v>3</v>
      </c>
      <c r="G568">
        <v>722</v>
      </c>
      <c r="H568">
        <v>2166</v>
      </c>
    </row>
    <row r="569" spans="1:8" x14ac:dyDescent="0.25">
      <c r="A569" t="s">
        <v>648</v>
      </c>
      <c r="B569" s="1">
        <v>45371</v>
      </c>
      <c r="C569" t="s">
        <v>348</v>
      </c>
      <c r="D569" t="s">
        <v>17</v>
      </c>
      <c r="E569" t="s">
        <v>14</v>
      </c>
      <c r="F569">
        <v>4</v>
      </c>
      <c r="G569">
        <v>541</v>
      </c>
      <c r="H569">
        <v>2164</v>
      </c>
    </row>
    <row r="570" spans="1:8" x14ac:dyDescent="0.25">
      <c r="A570" t="s">
        <v>1262</v>
      </c>
      <c r="B570" s="1">
        <v>45297</v>
      </c>
      <c r="C570" t="s">
        <v>98</v>
      </c>
      <c r="D570" t="s">
        <v>17</v>
      </c>
      <c r="E570" t="s">
        <v>11</v>
      </c>
      <c r="F570">
        <v>4</v>
      </c>
      <c r="G570">
        <v>541</v>
      </c>
      <c r="H570">
        <v>2164</v>
      </c>
    </row>
    <row r="571" spans="1:8" x14ac:dyDescent="0.25">
      <c r="A571" t="s">
        <v>431</v>
      </c>
      <c r="B571" s="1">
        <v>44978</v>
      </c>
      <c r="C571" t="s">
        <v>432</v>
      </c>
      <c r="D571" t="s">
        <v>20</v>
      </c>
      <c r="E571" t="s">
        <v>32</v>
      </c>
      <c r="F571">
        <v>4</v>
      </c>
      <c r="G571">
        <v>540</v>
      </c>
      <c r="H571">
        <v>2160</v>
      </c>
    </row>
    <row r="572" spans="1:8" x14ac:dyDescent="0.25">
      <c r="A572" t="s">
        <v>1564</v>
      </c>
      <c r="B572" s="1">
        <v>45624</v>
      </c>
      <c r="C572" t="s">
        <v>234</v>
      </c>
      <c r="D572" t="s">
        <v>20</v>
      </c>
      <c r="E572" t="s">
        <v>35</v>
      </c>
      <c r="F572">
        <v>2</v>
      </c>
      <c r="G572">
        <v>1079</v>
      </c>
      <c r="H572">
        <v>2158</v>
      </c>
    </row>
    <row r="573" spans="1:8" x14ac:dyDescent="0.25">
      <c r="A573" t="s">
        <v>1069</v>
      </c>
      <c r="B573" s="1">
        <v>45002</v>
      </c>
      <c r="C573" t="s">
        <v>322</v>
      </c>
      <c r="D573" t="s">
        <v>20</v>
      </c>
      <c r="E573" t="s">
        <v>11</v>
      </c>
      <c r="F573">
        <v>4</v>
      </c>
      <c r="G573">
        <v>539</v>
      </c>
      <c r="H573">
        <v>2156</v>
      </c>
    </row>
    <row r="574" spans="1:8" x14ac:dyDescent="0.25">
      <c r="A574" t="s">
        <v>754</v>
      </c>
      <c r="B574" s="1">
        <v>45234</v>
      </c>
      <c r="C574" t="s">
        <v>115</v>
      </c>
      <c r="D574" t="s">
        <v>27</v>
      </c>
      <c r="E574" t="s">
        <v>14</v>
      </c>
      <c r="F574">
        <v>3</v>
      </c>
      <c r="G574">
        <v>718</v>
      </c>
      <c r="H574">
        <v>2154</v>
      </c>
    </row>
    <row r="575" spans="1:8" x14ac:dyDescent="0.25">
      <c r="A575" t="s">
        <v>894</v>
      </c>
      <c r="B575" s="1">
        <v>45435</v>
      </c>
      <c r="C575" t="s">
        <v>86</v>
      </c>
      <c r="D575" t="s">
        <v>27</v>
      </c>
      <c r="E575" t="s">
        <v>35</v>
      </c>
      <c r="F575">
        <v>3</v>
      </c>
      <c r="G575">
        <v>718</v>
      </c>
      <c r="H575">
        <v>2154</v>
      </c>
    </row>
    <row r="576" spans="1:8" x14ac:dyDescent="0.25">
      <c r="A576" t="s">
        <v>1243</v>
      </c>
      <c r="B576" s="1">
        <v>45532</v>
      </c>
      <c r="C576" t="s">
        <v>289</v>
      </c>
      <c r="D576" t="s">
        <v>10</v>
      </c>
      <c r="E576" t="s">
        <v>35</v>
      </c>
      <c r="F576">
        <v>5</v>
      </c>
      <c r="G576">
        <v>430</v>
      </c>
      <c r="H576">
        <v>2150</v>
      </c>
    </row>
    <row r="577" spans="1:8" x14ac:dyDescent="0.25">
      <c r="A577" t="s">
        <v>755</v>
      </c>
      <c r="B577" s="1">
        <v>45170</v>
      </c>
      <c r="C577" t="s">
        <v>377</v>
      </c>
      <c r="D577" t="s">
        <v>10</v>
      </c>
      <c r="E577" t="s">
        <v>14</v>
      </c>
      <c r="F577">
        <v>3</v>
      </c>
      <c r="G577">
        <v>713</v>
      </c>
      <c r="H577">
        <v>2139</v>
      </c>
    </row>
    <row r="578" spans="1:8" x14ac:dyDescent="0.25">
      <c r="A578" t="s">
        <v>1675</v>
      </c>
      <c r="B578" s="1">
        <v>45496</v>
      </c>
      <c r="C578" t="s">
        <v>1450</v>
      </c>
      <c r="D578" t="s">
        <v>10</v>
      </c>
      <c r="E578" t="s">
        <v>25</v>
      </c>
      <c r="F578">
        <v>2</v>
      </c>
      <c r="G578">
        <v>1069</v>
      </c>
      <c r="H578">
        <v>2138</v>
      </c>
    </row>
    <row r="579" spans="1:8" x14ac:dyDescent="0.25">
      <c r="A579" t="s">
        <v>361</v>
      </c>
      <c r="B579" s="1">
        <v>45454</v>
      </c>
      <c r="C579" t="s">
        <v>362</v>
      </c>
      <c r="D579" t="s">
        <v>17</v>
      </c>
      <c r="E579" t="s">
        <v>32</v>
      </c>
      <c r="F579">
        <v>2</v>
      </c>
      <c r="G579">
        <v>1068</v>
      </c>
      <c r="H579">
        <v>2136</v>
      </c>
    </row>
    <row r="580" spans="1:8" x14ac:dyDescent="0.25">
      <c r="A580" t="s">
        <v>624</v>
      </c>
      <c r="B580" s="1">
        <v>45293</v>
      </c>
      <c r="C580" t="s">
        <v>252</v>
      </c>
      <c r="D580" t="s">
        <v>27</v>
      </c>
      <c r="E580" t="s">
        <v>11</v>
      </c>
      <c r="F580">
        <v>4</v>
      </c>
      <c r="G580">
        <v>533</v>
      </c>
      <c r="H580">
        <v>2132</v>
      </c>
    </row>
    <row r="581" spans="1:8" x14ac:dyDescent="0.25">
      <c r="A581" t="s">
        <v>1709</v>
      </c>
      <c r="B581" s="1">
        <v>44961</v>
      </c>
      <c r="C581" t="s">
        <v>560</v>
      </c>
      <c r="D581" t="s">
        <v>20</v>
      </c>
      <c r="E581" t="s">
        <v>35</v>
      </c>
      <c r="F581">
        <v>2</v>
      </c>
      <c r="G581">
        <v>1066</v>
      </c>
      <c r="H581">
        <v>2132</v>
      </c>
    </row>
    <row r="582" spans="1:8" x14ac:dyDescent="0.25">
      <c r="A582" t="s">
        <v>312</v>
      </c>
      <c r="B582" s="1">
        <v>44996</v>
      </c>
      <c r="C582" t="s">
        <v>313</v>
      </c>
      <c r="D582" t="s">
        <v>27</v>
      </c>
      <c r="E582" t="s">
        <v>14</v>
      </c>
      <c r="F582">
        <v>3</v>
      </c>
      <c r="G582">
        <v>710</v>
      </c>
      <c r="H582">
        <v>2130</v>
      </c>
    </row>
    <row r="583" spans="1:8" x14ac:dyDescent="0.25">
      <c r="A583" t="s">
        <v>590</v>
      </c>
      <c r="B583" s="1">
        <v>45369</v>
      </c>
      <c r="C583" t="s">
        <v>362</v>
      </c>
      <c r="D583" t="s">
        <v>10</v>
      </c>
      <c r="E583" t="s">
        <v>32</v>
      </c>
      <c r="F583">
        <v>2</v>
      </c>
      <c r="G583">
        <v>1063</v>
      </c>
      <c r="H583">
        <v>2126</v>
      </c>
    </row>
    <row r="584" spans="1:8" x14ac:dyDescent="0.25">
      <c r="A584" t="s">
        <v>430</v>
      </c>
      <c r="B584" s="1">
        <v>45496</v>
      </c>
      <c r="C584" t="s">
        <v>9</v>
      </c>
      <c r="D584" t="s">
        <v>10</v>
      </c>
      <c r="E584" t="s">
        <v>32</v>
      </c>
      <c r="F584">
        <v>2</v>
      </c>
      <c r="G584">
        <v>1059</v>
      </c>
      <c r="H584">
        <v>2118</v>
      </c>
    </row>
    <row r="585" spans="1:8" x14ac:dyDescent="0.25">
      <c r="A585" t="s">
        <v>1355</v>
      </c>
      <c r="B585" s="1">
        <v>44937</v>
      </c>
      <c r="C585" t="s">
        <v>683</v>
      </c>
      <c r="D585" t="s">
        <v>17</v>
      </c>
      <c r="E585" t="s">
        <v>14</v>
      </c>
      <c r="F585">
        <v>3</v>
      </c>
      <c r="G585">
        <v>706</v>
      </c>
      <c r="H585">
        <v>2118</v>
      </c>
    </row>
    <row r="586" spans="1:8" x14ac:dyDescent="0.25">
      <c r="A586" t="s">
        <v>1770</v>
      </c>
      <c r="B586" s="1">
        <v>45204</v>
      </c>
      <c r="C586" t="s">
        <v>1023</v>
      </c>
      <c r="D586" t="s">
        <v>17</v>
      </c>
      <c r="E586" t="s">
        <v>25</v>
      </c>
      <c r="F586">
        <v>3</v>
      </c>
      <c r="G586">
        <v>705</v>
      </c>
      <c r="H586">
        <v>2115</v>
      </c>
    </row>
    <row r="587" spans="1:8" x14ac:dyDescent="0.25">
      <c r="A587" t="s">
        <v>12</v>
      </c>
      <c r="B587" s="1">
        <v>45187</v>
      </c>
      <c r="C587" t="s">
        <v>13</v>
      </c>
      <c r="D587" t="s">
        <v>10</v>
      </c>
      <c r="E587" t="s">
        <v>14</v>
      </c>
      <c r="F587">
        <v>2</v>
      </c>
      <c r="G587">
        <v>1052</v>
      </c>
      <c r="H587">
        <v>2104</v>
      </c>
    </row>
    <row r="588" spans="1:8" x14ac:dyDescent="0.25">
      <c r="A588" t="s">
        <v>735</v>
      </c>
      <c r="B588" s="1">
        <v>45157</v>
      </c>
      <c r="C588" t="s">
        <v>179</v>
      </c>
      <c r="D588" t="s">
        <v>27</v>
      </c>
      <c r="E588" t="s">
        <v>11</v>
      </c>
      <c r="F588">
        <v>3</v>
      </c>
      <c r="G588">
        <v>701</v>
      </c>
      <c r="H588">
        <v>2103</v>
      </c>
    </row>
    <row r="589" spans="1:8" x14ac:dyDescent="0.25">
      <c r="A589" t="s">
        <v>625</v>
      </c>
      <c r="B589" s="1">
        <v>45523</v>
      </c>
      <c r="C589" t="s">
        <v>230</v>
      </c>
      <c r="D589" t="s">
        <v>20</v>
      </c>
      <c r="E589" t="s">
        <v>14</v>
      </c>
      <c r="F589">
        <v>5</v>
      </c>
      <c r="G589">
        <v>420</v>
      </c>
      <c r="H589">
        <v>2100</v>
      </c>
    </row>
    <row r="590" spans="1:8" x14ac:dyDescent="0.25">
      <c r="A590" t="s">
        <v>1636</v>
      </c>
      <c r="B590" s="1">
        <v>45250</v>
      </c>
      <c r="C590" t="s">
        <v>1637</v>
      </c>
      <c r="D590" t="s">
        <v>20</v>
      </c>
      <c r="E590" t="s">
        <v>14</v>
      </c>
      <c r="F590">
        <v>5</v>
      </c>
      <c r="G590">
        <v>419</v>
      </c>
      <c r="H590">
        <v>2095</v>
      </c>
    </row>
    <row r="591" spans="1:8" x14ac:dyDescent="0.25">
      <c r="A591" t="s">
        <v>1042</v>
      </c>
      <c r="B591" s="1">
        <v>45455</v>
      </c>
      <c r="C591" t="s">
        <v>109</v>
      </c>
      <c r="D591" t="s">
        <v>20</v>
      </c>
      <c r="E591" t="s">
        <v>32</v>
      </c>
      <c r="F591">
        <v>2</v>
      </c>
      <c r="G591">
        <v>1044</v>
      </c>
      <c r="H591">
        <v>2088</v>
      </c>
    </row>
    <row r="592" spans="1:8" x14ac:dyDescent="0.25">
      <c r="A592" t="s">
        <v>1517</v>
      </c>
      <c r="B592" s="1">
        <v>45530</v>
      </c>
      <c r="C592" t="s">
        <v>121</v>
      </c>
      <c r="D592" t="s">
        <v>20</v>
      </c>
      <c r="E592" t="s">
        <v>35</v>
      </c>
      <c r="F592">
        <v>3</v>
      </c>
      <c r="G592">
        <v>696</v>
      </c>
      <c r="H592">
        <v>2088</v>
      </c>
    </row>
    <row r="593" spans="1:8" x14ac:dyDescent="0.25">
      <c r="A593" t="s">
        <v>694</v>
      </c>
      <c r="B593" s="1">
        <v>45369</v>
      </c>
      <c r="C593" t="s">
        <v>695</v>
      </c>
      <c r="D593" t="s">
        <v>20</v>
      </c>
      <c r="E593" t="s">
        <v>32</v>
      </c>
      <c r="F593">
        <v>2</v>
      </c>
      <c r="G593">
        <v>1043</v>
      </c>
      <c r="H593">
        <v>2086</v>
      </c>
    </row>
    <row r="594" spans="1:8" x14ac:dyDescent="0.25">
      <c r="A594" t="s">
        <v>470</v>
      </c>
      <c r="B594" s="1">
        <v>44966</v>
      </c>
      <c r="C594" t="s">
        <v>471</v>
      </c>
      <c r="D594" t="s">
        <v>10</v>
      </c>
      <c r="E594" t="s">
        <v>14</v>
      </c>
      <c r="F594">
        <v>2</v>
      </c>
      <c r="G594">
        <v>1041</v>
      </c>
      <c r="H594">
        <v>2082</v>
      </c>
    </row>
    <row r="595" spans="1:8" x14ac:dyDescent="0.25">
      <c r="A595" t="s">
        <v>1707</v>
      </c>
      <c r="B595" s="1">
        <v>45206</v>
      </c>
      <c r="C595" t="s">
        <v>979</v>
      </c>
      <c r="D595" t="s">
        <v>20</v>
      </c>
      <c r="E595" t="s">
        <v>25</v>
      </c>
      <c r="F595">
        <v>5</v>
      </c>
      <c r="G595">
        <v>416</v>
      </c>
      <c r="H595">
        <v>2080</v>
      </c>
    </row>
    <row r="596" spans="1:8" x14ac:dyDescent="0.25">
      <c r="A596" t="s">
        <v>1360</v>
      </c>
      <c r="B596" s="1">
        <v>45540</v>
      </c>
      <c r="C596" t="s">
        <v>104</v>
      </c>
      <c r="D596" t="s">
        <v>17</v>
      </c>
      <c r="E596" t="s">
        <v>11</v>
      </c>
      <c r="F596">
        <v>3</v>
      </c>
      <c r="G596">
        <v>693</v>
      </c>
      <c r="H596">
        <v>2079</v>
      </c>
    </row>
    <row r="597" spans="1:8" x14ac:dyDescent="0.25">
      <c r="A597" t="s">
        <v>1346</v>
      </c>
      <c r="B597" s="1">
        <v>45338</v>
      </c>
      <c r="C597" t="s">
        <v>1347</v>
      </c>
      <c r="D597" t="s">
        <v>27</v>
      </c>
      <c r="E597" t="s">
        <v>25</v>
      </c>
      <c r="F597">
        <v>2</v>
      </c>
      <c r="G597">
        <v>1036</v>
      </c>
      <c r="H597">
        <v>2072</v>
      </c>
    </row>
    <row r="598" spans="1:8" x14ac:dyDescent="0.25">
      <c r="A598" t="s">
        <v>1370</v>
      </c>
      <c r="B598" s="1">
        <v>45430</v>
      </c>
      <c r="C598" t="s">
        <v>369</v>
      </c>
      <c r="D598" t="s">
        <v>17</v>
      </c>
      <c r="E598" t="s">
        <v>11</v>
      </c>
      <c r="F598">
        <v>2</v>
      </c>
      <c r="G598">
        <v>1036</v>
      </c>
      <c r="H598">
        <v>2072</v>
      </c>
    </row>
    <row r="599" spans="1:8" x14ac:dyDescent="0.25">
      <c r="A599" t="s">
        <v>563</v>
      </c>
      <c r="B599" s="1">
        <v>45585</v>
      </c>
      <c r="C599" t="s">
        <v>37</v>
      </c>
      <c r="D599" t="s">
        <v>10</v>
      </c>
      <c r="E599" t="s">
        <v>35</v>
      </c>
      <c r="F599">
        <v>5</v>
      </c>
      <c r="G599">
        <v>414</v>
      </c>
      <c r="H599">
        <v>2070</v>
      </c>
    </row>
    <row r="600" spans="1:8" x14ac:dyDescent="0.25">
      <c r="A600" t="s">
        <v>378</v>
      </c>
      <c r="B600" s="1">
        <v>45236</v>
      </c>
      <c r="C600" t="s">
        <v>142</v>
      </c>
      <c r="D600" t="s">
        <v>27</v>
      </c>
      <c r="E600" t="s">
        <v>32</v>
      </c>
      <c r="F600">
        <v>5</v>
      </c>
      <c r="G600">
        <v>413</v>
      </c>
      <c r="H600">
        <v>2065</v>
      </c>
    </row>
    <row r="601" spans="1:8" x14ac:dyDescent="0.25">
      <c r="A601" t="s">
        <v>880</v>
      </c>
      <c r="B601" s="1">
        <v>44978</v>
      </c>
      <c r="C601" t="s">
        <v>881</v>
      </c>
      <c r="D601" t="s">
        <v>10</v>
      </c>
      <c r="E601" t="s">
        <v>35</v>
      </c>
      <c r="F601">
        <v>2</v>
      </c>
      <c r="G601">
        <v>1032</v>
      </c>
      <c r="H601">
        <v>2064</v>
      </c>
    </row>
    <row r="602" spans="1:8" x14ac:dyDescent="0.25">
      <c r="A602" t="s">
        <v>738</v>
      </c>
      <c r="B602" s="1">
        <v>45199</v>
      </c>
      <c r="C602" t="s">
        <v>88</v>
      </c>
      <c r="D602" t="s">
        <v>20</v>
      </c>
      <c r="E602" t="s">
        <v>25</v>
      </c>
      <c r="F602">
        <v>5</v>
      </c>
      <c r="G602">
        <v>412</v>
      </c>
      <c r="H602">
        <v>2060</v>
      </c>
    </row>
    <row r="603" spans="1:8" x14ac:dyDescent="0.25">
      <c r="A603" t="s">
        <v>718</v>
      </c>
      <c r="B603" s="1">
        <v>45617</v>
      </c>
      <c r="C603" t="s">
        <v>719</v>
      </c>
      <c r="D603" t="s">
        <v>17</v>
      </c>
      <c r="E603" t="s">
        <v>32</v>
      </c>
      <c r="F603">
        <v>3</v>
      </c>
      <c r="G603">
        <v>685</v>
      </c>
      <c r="H603">
        <v>2055</v>
      </c>
    </row>
    <row r="604" spans="1:8" x14ac:dyDescent="0.25">
      <c r="A604" t="s">
        <v>1230</v>
      </c>
      <c r="B604" s="1">
        <v>45376</v>
      </c>
      <c r="C604" t="s">
        <v>252</v>
      </c>
      <c r="D604" t="s">
        <v>17</v>
      </c>
      <c r="E604" t="s">
        <v>35</v>
      </c>
      <c r="F604">
        <v>2</v>
      </c>
      <c r="G604">
        <v>1027</v>
      </c>
      <c r="H604">
        <v>2054</v>
      </c>
    </row>
    <row r="605" spans="1:8" x14ac:dyDescent="0.25">
      <c r="A605" t="s">
        <v>1785</v>
      </c>
      <c r="B605" s="1">
        <v>45449</v>
      </c>
      <c r="C605" t="s">
        <v>211</v>
      </c>
      <c r="D605" t="s">
        <v>17</v>
      </c>
      <c r="E605" t="s">
        <v>35</v>
      </c>
      <c r="F605">
        <v>2</v>
      </c>
      <c r="G605">
        <v>1025</v>
      </c>
      <c r="H605">
        <v>2050</v>
      </c>
    </row>
    <row r="606" spans="1:8" x14ac:dyDescent="0.25">
      <c r="A606" t="s">
        <v>1219</v>
      </c>
      <c r="B606" s="1">
        <v>45569</v>
      </c>
      <c r="C606" t="s">
        <v>330</v>
      </c>
      <c r="D606" t="s">
        <v>10</v>
      </c>
      <c r="E606" t="s">
        <v>11</v>
      </c>
      <c r="F606">
        <v>3</v>
      </c>
      <c r="G606">
        <v>682</v>
      </c>
      <c r="H606">
        <v>2046</v>
      </c>
    </row>
    <row r="607" spans="1:8" x14ac:dyDescent="0.25">
      <c r="A607" t="s">
        <v>713</v>
      </c>
      <c r="B607" s="1">
        <v>45391</v>
      </c>
      <c r="C607" t="s">
        <v>53</v>
      </c>
      <c r="D607" t="s">
        <v>27</v>
      </c>
      <c r="E607" t="s">
        <v>25</v>
      </c>
      <c r="F607">
        <v>5</v>
      </c>
      <c r="G607">
        <v>409</v>
      </c>
      <c r="H607">
        <v>2045</v>
      </c>
    </row>
    <row r="608" spans="1:8" x14ac:dyDescent="0.25">
      <c r="A608" t="s">
        <v>1140</v>
      </c>
      <c r="B608" s="1">
        <v>45382</v>
      </c>
      <c r="C608" t="s">
        <v>86</v>
      </c>
      <c r="D608" t="s">
        <v>27</v>
      </c>
      <c r="E608" t="s">
        <v>14</v>
      </c>
      <c r="F608">
        <v>3</v>
      </c>
      <c r="G608">
        <v>679</v>
      </c>
      <c r="H608">
        <v>2037</v>
      </c>
    </row>
    <row r="609" spans="1:8" x14ac:dyDescent="0.25">
      <c r="A609" t="s">
        <v>1601</v>
      </c>
      <c r="B609" s="1">
        <v>45576</v>
      </c>
      <c r="C609" t="s">
        <v>211</v>
      </c>
      <c r="D609" t="s">
        <v>10</v>
      </c>
      <c r="E609" t="s">
        <v>25</v>
      </c>
      <c r="F609">
        <v>2</v>
      </c>
      <c r="G609">
        <v>1017</v>
      </c>
      <c r="H609">
        <v>2034</v>
      </c>
    </row>
    <row r="610" spans="1:8" x14ac:dyDescent="0.25">
      <c r="A610" t="s">
        <v>593</v>
      </c>
      <c r="B610" s="1">
        <v>45400</v>
      </c>
      <c r="C610" t="s">
        <v>594</v>
      </c>
      <c r="D610" t="s">
        <v>20</v>
      </c>
      <c r="E610" t="s">
        <v>25</v>
      </c>
      <c r="F610">
        <v>2</v>
      </c>
      <c r="G610">
        <v>1016</v>
      </c>
      <c r="H610">
        <v>2032</v>
      </c>
    </row>
    <row r="611" spans="1:8" x14ac:dyDescent="0.25">
      <c r="A611" t="s">
        <v>174</v>
      </c>
      <c r="B611" s="1">
        <v>45032</v>
      </c>
      <c r="C611" t="s">
        <v>175</v>
      </c>
      <c r="D611" t="s">
        <v>17</v>
      </c>
      <c r="E611" t="s">
        <v>25</v>
      </c>
      <c r="F611">
        <v>5</v>
      </c>
      <c r="G611">
        <v>406</v>
      </c>
      <c r="H611">
        <v>2030</v>
      </c>
    </row>
    <row r="612" spans="1:8" x14ac:dyDescent="0.25">
      <c r="A612" t="s">
        <v>587</v>
      </c>
      <c r="B612" s="1">
        <v>45623</v>
      </c>
      <c r="C612" t="s">
        <v>382</v>
      </c>
      <c r="D612" t="s">
        <v>20</v>
      </c>
      <c r="E612" t="s">
        <v>32</v>
      </c>
      <c r="F612">
        <v>4</v>
      </c>
      <c r="G612">
        <v>507</v>
      </c>
      <c r="H612">
        <v>2028</v>
      </c>
    </row>
    <row r="613" spans="1:8" x14ac:dyDescent="0.25">
      <c r="A613" t="s">
        <v>571</v>
      </c>
      <c r="B613" s="1">
        <v>45046</v>
      </c>
      <c r="C613" t="s">
        <v>396</v>
      </c>
      <c r="D613" t="s">
        <v>27</v>
      </c>
      <c r="E613" t="s">
        <v>25</v>
      </c>
      <c r="F613">
        <v>5</v>
      </c>
      <c r="G613">
        <v>405</v>
      </c>
      <c r="H613">
        <v>2025</v>
      </c>
    </row>
    <row r="614" spans="1:8" x14ac:dyDescent="0.25">
      <c r="A614" t="s">
        <v>1011</v>
      </c>
      <c r="B614" s="1">
        <v>44957</v>
      </c>
      <c r="C614" t="s">
        <v>136</v>
      </c>
      <c r="D614" t="s">
        <v>20</v>
      </c>
      <c r="E614" t="s">
        <v>32</v>
      </c>
      <c r="F614">
        <v>2</v>
      </c>
      <c r="G614">
        <v>1011</v>
      </c>
      <c r="H614">
        <v>2022</v>
      </c>
    </row>
    <row r="615" spans="1:8" x14ac:dyDescent="0.25">
      <c r="A615" t="s">
        <v>1276</v>
      </c>
      <c r="B615" s="1">
        <v>45492</v>
      </c>
      <c r="C615" t="s">
        <v>589</v>
      </c>
      <c r="D615" t="s">
        <v>27</v>
      </c>
      <c r="E615" t="s">
        <v>25</v>
      </c>
      <c r="F615">
        <v>2</v>
      </c>
      <c r="G615">
        <v>1011</v>
      </c>
      <c r="H615">
        <v>2022</v>
      </c>
    </row>
    <row r="616" spans="1:8" x14ac:dyDescent="0.25">
      <c r="A616" t="s">
        <v>299</v>
      </c>
      <c r="B616" s="1">
        <v>45488</v>
      </c>
      <c r="C616" t="s">
        <v>300</v>
      </c>
      <c r="D616" t="s">
        <v>27</v>
      </c>
      <c r="E616" t="s">
        <v>11</v>
      </c>
      <c r="F616">
        <v>5</v>
      </c>
      <c r="G616">
        <v>404</v>
      </c>
      <c r="H616">
        <v>2020</v>
      </c>
    </row>
    <row r="617" spans="1:8" x14ac:dyDescent="0.25">
      <c r="A617" t="s">
        <v>812</v>
      </c>
      <c r="B617" s="1">
        <v>45008</v>
      </c>
      <c r="C617" t="s">
        <v>444</v>
      </c>
      <c r="D617" t="s">
        <v>10</v>
      </c>
      <c r="E617" t="s">
        <v>11</v>
      </c>
      <c r="F617">
        <v>4</v>
      </c>
      <c r="G617">
        <v>505</v>
      </c>
      <c r="H617">
        <v>2020</v>
      </c>
    </row>
    <row r="618" spans="1:8" x14ac:dyDescent="0.25">
      <c r="A618" t="s">
        <v>1581</v>
      </c>
      <c r="B618" s="1">
        <v>45079</v>
      </c>
      <c r="C618" t="s">
        <v>358</v>
      </c>
      <c r="D618" t="s">
        <v>17</v>
      </c>
      <c r="E618" t="s">
        <v>25</v>
      </c>
      <c r="F618">
        <v>5</v>
      </c>
      <c r="G618">
        <v>404</v>
      </c>
      <c r="H618">
        <v>2020</v>
      </c>
    </row>
    <row r="619" spans="1:8" x14ac:dyDescent="0.25">
      <c r="A619" t="s">
        <v>1806</v>
      </c>
      <c r="B619" s="1">
        <v>45108</v>
      </c>
      <c r="C619" t="s">
        <v>574</v>
      </c>
      <c r="D619" t="s">
        <v>17</v>
      </c>
      <c r="E619" t="s">
        <v>14</v>
      </c>
      <c r="F619">
        <v>3</v>
      </c>
      <c r="G619">
        <v>673</v>
      </c>
      <c r="H619">
        <v>2019</v>
      </c>
    </row>
    <row r="620" spans="1:8" x14ac:dyDescent="0.25">
      <c r="A620" t="s">
        <v>1518</v>
      </c>
      <c r="B620" s="1">
        <v>44947</v>
      </c>
      <c r="C620" t="s">
        <v>614</v>
      </c>
      <c r="D620" t="s">
        <v>10</v>
      </c>
      <c r="E620" t="s">
        <v>14</v>
      </c>
      <c r="F620">
        <v>3</v>
      </c>
      <c r="G620">
        <v>672</v>
      </c>
      <c r="H620">
        <v>2016</v>
      </c>
    </row>
    <row r="621" spans="1:8" x14ac:dyDescent="0.25">
      <c r="A621" t="s">
        <v>1198</v>
      </c>
      <c r="B621" s="1">
        <v>45586</v>
      </c>
      <c r="C621" t="s">
        <v>541</v>
      </c>
      <c r="D621" t="s">
        <v>27</v>
      </c>
      <c r="E621" t="s">
        <v>35</v>
      </c>
      <c r="F621">
        <v>4</v>
      </c>
      <c r="G621">
        <v>501</v>
      </c>
      <c r="H621">
        <v>2004</v>
      </c>
    </row>
    <row r="622" spans="1:8" x14ac:dyDescent="0.25">
      <c r="A622" t="s">
        <v>410</v>
      </c>
      <c r="B622" s="1">
        <v>44972</v>
      </c>
      <c r="C622" t="s">
        <v>214</v>
      </c>
      <c r="D622" t="s">
        <v>27</v>
      </c>
      <c r="E622" t="s">
        <v>25</v>
      </c>
      <c r="F622">
        <v>4</v>
      </c>
      <c r="G622">
        <v>500</v>
      </c>
      <c r="H622">
        <v>2000</v>
      </c>
    </row>
    <row r="623" spans="1:8" x14ac:dyDescent="0.25">
      <c r="A623" t="s">
        <v>1595</v>
      </c>
      <c r="B623" s="1">
        <v>44931</v>
      </c>
      <c r="C623" t="s">
        <v>39</v>
      </c>
      <c r="D623" t="s">
        <v>17</v>
      </c>
      <c r="E623" t="s">
        <v>32</v>
      </c>
      <c r="F623">
        <v>2</v>
      </c>
      <c r="G623">
        <v>1000</v>
      </c>
      <c r="H623">
        <v>2000</v>
      </c>
    </row>
    <row r="624" spans="1:8" x14ac:dyDescent="0.25">
      <c r="A624" t="s">
        <v>1659</v>
      </c>
      <c r="B624" s="1">
        <v>45246</v>
      </c>
      <c r="C624" t="s">
        <v>324</v>
      </c>
      <c r="D624" t="s">
        <v>20</v>
      </c>
      <c r="E624" t="s">
        <v>25</v>
      </c>
      <c r="F624">
        <v>2</v>
      </c>
      <c r="G624">
        <v>999</v>
      </c>
      <c r="H624">
        <v>1998</v>
      </c>
    </row>
    <row r="625" spans="1:8" x14ac:dyDescent="0.25">
      <c r="A625" t="s">
        <v>853</v>
      </c>
      <c r="B625" s="1">
        <v>45043</v>
      </c>
      <c r="C625" t="s">
        <v>214</v>
      </c>
      <c r="D625" t="s">
        <v>10</v>
      </c>
      <c r="E625" t="s">
        <v>35</v>
      </c>
      <c r="F625">
        <v>2</v>
      </c>
      <c r="G625">
        <v>996</v>
      </c>
      <c r="H625">
        <v>1992</v>
      </c>
    </row>
    <row r="626" spans="1:8" x14ac:dyDescent="0.25">
      <c r="A626" t="s">
        <v>1307</v>
      </c>
      <c r="B626" s="1">
        <v>45520</v>
      </c>
      <c r="C626" t="s">
        <v>633</v>
      </c>
      <c r="D626" t="s">
        <v>17</v>
      </c>
      <c r="E626" t="s">
        <v>14</v>
      </c>
      <c r="F626">
        <v>2</v>
      </c>
      <c r="G626">
        <v>994</v>
      </c>
      <c r="H626">
        <v>1988</v>
      </c>
    </row>
    <row r="627" spans="1:8" x14ac:dyDescent="0.25">
      <c r="A627" t="s">
        <v>265</v>
      </c>
      <c r="B627" s="1">
        <v>45618</v>
      </c>
      <c r="C627" t="s">
        <v>266</v>
      </c>
      <c r="D627" t="s">
        <v>17</v>
      </c>
      <c r="E627" t="s">
        <v>11</v>
      </c>
      <c r="F627">
        <v>2</v>
      </c>
      <c r="G627">
        <v>990</v>
      </c>
      <c r="H627">
        <v>1980</v>
      </c>
    </row>
    <row r="628" spans="1:8" x14ac:dyDescent="0.25">
      <c r="A628" t="s">
        <v>416</v>
      </c>
      <c r="B628" s="1">
        <v>45403</v>
      </c>
      <c r="C628" t="s">
        <v>417</v>
      </c>
      <c r="D628" t="s">
        <v>20</v>
      </c>
      <c r="E628" t="s">
        <v>14</v>
      </c>
      <c r="F628">
        <v>3</v>
      </c>
      <c r="G628">
        <v>659</v>
      </c>
      <c r="H628">
        <v>1977</v>
      </c>
    </row>
    <row r="629" spans="1:8" x14ac:dyDescent="0.25">
      <c r="A629" t="s">
        <v>1569</v>
      </c>
      <c r="B629" s="1">
        <v>45039</v>
      </c>
      <c r="C629" t="s">
        <v>848</v>
      </c>
      <c r="D629" t="s">
        <v>20</v>
      </c>
      <c r="E629" t="s">
        <v>35</v>
      </c>
      <c r="F629">
        <v>3</v>
      </c>
      <c r="G629">
        <v>659</v>
      </c>
      <c r="H629">
        <v>1977</v>
      </c>
    </row>
    <row r="630" spans="1:8" x14ac:dyDescent="0.25">
      <c r="A630" t="s">
        <v>699</v>
      </c>
      <c r="B630" s="1">
        <v>45534</v>
      </c>
      <c r="C630" t="s">
        <v>642</v>
      </c>
      <c r="D630" t="s">
        <v>17</v>
      </c>
      <c r="E630" t="s">
        <v>32</v>
      </c>
      <c r="F630">
        <v>3</v>
      </c>
      <c r="G630">
        <v>658</v>
      </c>
      <c r="H630">
        <v>1974</v>
      </c>
    </row>
    <row r="631" spans="1:8" x14ac:dyDescent="0.25">
      <c r="A631" t="s">
        <v>518</v>
      </c>
      <c r="B631" s="1">
        <v>45077</v>
      </c>
      <c r="C631" t="s">
        <v>302</v>
      </c>
      <c r="D631" t="s">
        <v>17</v>
      </c>
      <c r="E631" t="s">
        <v>35</v>
      </c>
      <c r="F631">
        <v>2</v>
      </c>
      <c r="G631">
        <v>985</v>
      </c>
      <c r="H631">
        <v>1970</v>
      </c>
    </row>
    <row r="632" spans="1:8" x14ac:dyDescent="0.25">
      <c r="A632" t="s">
        <v>1010</v>
      </c>
      <c r="B632" s="1">
        <v>45211</v>
      </c>
      <c r="C632" t="s">
        <v>417</v>
      </c>
      <c r="D632" t="s">
        <v>20</v>
      </c>
      <c r="E632" t="s">
        <v>14</v>
      </c>
      <c r="F632">
        <v>2</v>
      </c>
      <c r="G632">
        <v>984</v>
      </c>
      <c r="H632">
        <v>1968</v>
      </c>
    </row>
    <row r="633" spans="1:8" x14ac:dyDescent="0.25">
      <c r="A633" t="s">
        <v>1749</v>
      </c>
      <c r="B633" s="1">
        <v>45073</v>
      </c>
      <c r="C633" t="s">
        <v>24</v>
      </c>
      <c r="D633" t="s">
        <v>27</v>
      </c>
      <c r="E633" t="s">
        <v>14</v>
      </c>
      <c r="F633">
        <v>2</v>
      </c>
      <c r="G633">
        <v>983</v>
      </c>
      <c r="H633">
        <v>1966</v>
      </c>
    </row>
    <row r="634" spans="1:8" x14ac:dyDescent="0.25">
      <c r="A634" t="s">
        <v>506</v>
      </c>
      <c r="B634" s="1">
        <v>45457</v>
      </c>
      <c r="C634" t="s">
        <v>86</v>
      </c>
      <c r="D634" t="s">
        <v>10</v>
      </c>
      <c r="E634" t="s">
        <v>14</v>
      </c>
      <c r="F634">
        <v>4</v>
      </c>
      <c r="G634">
        <v>491</v>
      </c>
      <c r="H634">
        <v>1964</v>
      </c>
    </row>
    <row r="635" spans="1:8" x14ac:dyDescent="0.25">
      <c r="A635" t="s">
        <v>1448</v>
      </c>
      <c r="B635" s="1">
        <v>45011</v>
      </c>
      <c r="C635" t="s">
        <v>574</v>
      </c>
      <c r="D635" t="s">
        <v>20</v>
      </c>
      <c r="E635" t="s">
        <v>14</v>
      </c>
      <c r="F635">
        <v>5</v>
      </c>
      <c r="G635">
        <v>392</v>
      </c>
      <c r="H635">
        <v>1960</v>
      </c>
    </row>
    <row r="636" spans="1:8" x14ac:dyDescent="0.25">
      <c r="A636" t="s">
        <v>1722</v>
      </c>
      <c r="B636" s="1">
        <v>45291</v>
      </c>
      <c r="C636" t="s">
        <v>270</v>
      </c>
      <c r="D636" t="s">
        <v>20</v>
      </c>
      <c r="E636" t="s">
        <v>32</v>
      </c>
      <c r="F636">
        <v>2</v>
      </c>
      <c r="G636">
        <v>979</v>
      </c>
      <c r="H636">
        <v>1958</v>
      </c>
    </row>
    <row r="637" spans="1:8" x14ac:dyDescent="0.25">
      <c r="A637" t="s">
        <v>549</v>
      </c>
      <c r="B637" s="1">
        <v>45594</v>
      </c>
      <c r="C637" t="s">
        <v>238</v>
      </c>
      <c r="D637" t="s">
        <v>10</v>
      </c>
      <c r="E637" t="s">
        <v>25</v>
      </c>
      <c r="F637">
        <v>5</v>
      </c>
      <c r="G637">
        <v>391</v>
      </c>
      <c r="H637">
        <v>1955</v>
      </c>
    </row>
    <row r="638" spans="1:8" x14ac:dyDescent="0.25">
      <c r="A638" t="s">
        <v>903</v>
      </c>
      <c r="B638" s="1">
        <v>45332</v>
      </c>
      <c r="C638" t="s">
        <v>282</v>
      </c>
      <c r="D638" t="s">
        <v>10</v>
      </c>
      <c r="E638" t="s">
        <v>32</v>
      </c>
      <c r="F638">
        <v>2</v>
      </c>
      <c r="G638">
        <v>976</v>
      </c>
      <c r="H638">
        <v>1952</v>
      </c>
    </row>
    <row r="639" spans="1:8" x14ac:dyDescent="0.25">
      <c r="A639" t="s">
        <v>1067</v>
      </c>
      <c r="B639" s="1">
        <v>45058</v>
      </c>
      <c r="C639" t="s">
        <v>541</v>
      </c>
      <c r="D639" t="s">
        <v>27</v>
      </c>
      <c r="E639" t="s">
        <v>32</v>
      </c>
      <c r="F639">
        <v>5</v>
      </c>
      <c r="G639">
        <v>390</v>
      </c>
      <c r="H639">
        <v>1950</v>
      </c>
    </row>
    <row r="640" spans="1:8" x14ac:dyDescent="0.25">
      <c r="A640" t="s">
        <v>1589</v>
      </c>
      <c r="B640" s="1">
        <v>45281</v>
      </c>
      <c r="C640" t="s">
        <v>432</v>
      </c>
      <c r="D640" t="s">
        <v>20</v>
      </c>
      <c r="E640" t="s">
        <v>32</v>
      </c>
      <c r="F640">
        <v>2</v>
      </c>
      <c r="G640">
        <v>975</v>
      </c>
      <c r="H640">
        <v>1950</v>
      </c>
    </row>
    <row r="641" spans="1:8" x14ac:dyDescent="0.25">
      <c r="A641" t="s">
        <v>1012</v>
      </c>
      <c r="B641" s="1">
        <v>45112</v>
      </c>
      <c r="C641" t="s">
        <v>343</v>
      </c>
      <c r="D641" t="s">
        <v>10</v>
      </c>
      <c r="E641" t="s">
        <v>25</v>
      </c>
      <c r="F641">
        <v>2</v>
      </c>
      <c r="G641">
        <v>974</v>
      </c>
      <c r="H641">
        <v>1948</v>
      </c>
    </row>
    <row r="642" spans="1:8" x14ac:dyDescent="0.25">
      <c r="A642" t="s">
        <v>1108</v>
      </c>
      <c r="B642" s="1">
        <v>45044</v>
      </c>
      <c r="C642" t="s">
        <v>106</v>
      </c>
      <c r="D642" t="s">
        <v>17</v>
      </c>
      <c r="E642" t="s">
        <v>11</v>
      </c>
      <c r="F642">
        <v>2</v>
      </c>
      <c r="G642">
        <v>974</v>
      </c>
      <c r="H642">
        <v>1948</v>
      </c>
    </row>
    <row r="643" spans="1:8" x14ac:dyDescent="0.25">
      <c r="A643" t="s">
        <v>1684</v>
      </c>
      <c r="B643" s="1">
        <v>45574</v>
      </c>
      <c r="C643" t="s">
        <v>1023</v>
      </c>
      <c r="D643" t="s">
        <v>27</v>
      </c>
      <c r="E643" t="s">
        <v>32</v>
      </c>
      <c r="F643">
        <v>2</v>
      </c>
      <c r="G643">
        <v>974</v>
      </c>
      <c r="H643">
        <v>1948</v>
      </c>
    </row>
    <row r="644" spans="1:8" x14ac:dyDescent="0.25">
      <c r="A644" t="s">
        <v>995</v>
      </c>
      <c r="B644" s="1">
        <v>45578</v>
      </c>
      <c r="C644" t="s">
        <v>459</v>
      </c>
      <c r="D644" t="s">
        <v>17</v>
      </c>
      <c r="E644" t="s">
        <v>11</v>
      </c>
      <c r="F644">
        <v>2</v>
      </c>
      <c r="G644">
        <v>972</v>
      </c>
      <c r="H644">
        <v>1944</v>
      </c>
    </row>
    <row r="645" spans="1:8" x14ac:dyDescent="0.25">
      <c r="A645" t="s">
        <v>597</v>
      </c>
      <c r="B645" s="1">
        <v>45260</v>
      </c>
      <c r="C645" t="s">
        <v>598</v>
      </c>
      <c r="D645" t="s">
        <v>10</v>
      </c>
      <c r="E645" t="s">
        <v>32</v>
      </c>
      <c r="F645">
        <v>4</v>
      </c>
      <c r="G645">
        <v>485</v>
      </c>
      <c r="H645">
        <v>1940</v>
      </c>
    </row>
    <row r="646" spans="1:8" x14ac:dyDescent="0.25">
      <c r="A646" t="s">
        <v>915</v>
      </c>
      <c r="B646" s="1">
        <v>45621</v>
      </c>
      <c r="C646" t="s">
        <v>322</v>
      </c>
      <c r="D646" t="s">
        <v>10</v>
      </c>
      <c r="E646" t="s">
        <v>35</v>
      </c>
      <c r="F646">
        <v>4</v>
      </c>
      <c r="G646">
        <v>485</v>
      </c>
      <c r="H646">
        <v>1940</v>
      </c>
    </row>
    <row r="647" spans="1:8" x14ac:dyDescent="0.25">
      <c r="A647" t="s">
        <v>1748</v>
      </c>
      <c r="B647" s="1">
        <v>44960</v>
      </c>
      <c r="C647" t="s">
        <v>61</v>
      </c>
      <c r="D647" t="s">
        <v>17</v>
      </c>
      <c r="E647" t="s">
        <v>11</v>
      </c>
      <c r="F647">
        <v>4</v>
      </c>
      <c r="G647">
        <v>485</v>
      </c>
      <c r="H647">
        <v>1940</v>
      </c>
    </row>
    <row r="648" spans="1:8" x14ac:dyDescent="0.25">
      <c r="A648" t="s">
        <v>196</v>
      </c>
      <c r="B648" s="1">
        <v>45580</v>
      </c>
      <c r="C648" t="s">
        <v>197</v>
      </c>
      <c r="D648" t="s">
        <v>10</v>
      </c>
      <c r="E648" t="s">
        <v>32</v>
      </c>
      <c r="F648">
        <v>3</v>
      </c>
      <c r="G648">
        <v>645</v>
      </c>
      <c r="H648">
        <v>1935</v>
      </c>
    </row>
    <row r="649" spans="1:8" x14ac:dyDescent="0.25">
      <c r="A649" t="s">
        <v>1760</v>
      </c>
      <c r="B649" s="1">
        <v>45244</v>
      </c>
      <c r="C649" t="s">
        <v>156</v>
      </c>
      <c r="D649" t="s">
        <v>20</v>
      </c>
      <c r="E649" t="s">
        <v>32</v>
      </c>
      <c r="F649">
        <v>3</v>
      </c>
      <c r="G649">
        <v>645</v>
      </c>
      <c r="H649">
        <v>1935</v>
      </c>
    </row>
    <row r="650" spans="1:8" x14ac:dyDescent="0.25">
      <c r="A650" t="s">
        <v>157</v>
      </c>
      <c r="B650" s="1">
        <v>45238</v>
      </c>
      <c r="C650" t="s">
        <v>158</v>
      </c>
      <c r="D650" t="s">
        <v>17</v>
      </c>
      <c r="E650" t="s">
        <v>35</v>
      </c>
      <c r="F650">
        <v>2</v>
      </c>
      <c r="G650">
        <v>966</v>
      </c>
      <c r="H650">
        <v>1932</v>
      </c>
    </row>
    <row r="651" spans="1:8" x14ac:dyDescent="0.25">
      <c r="A651" t="s">
        <v>1120</v>
      </c>
      <c r="B651" s="1">
        <v>44994</v>
      </c>
      <c r="C651" t="s">
        <v>444</v>
      </c>
      <c r="D651" t="s">
        <v>10</v>
      </c>
      <c r="E651" t="s">
        <v>35</v>
      </c>
      <c r="F651">
        <v>4</v>
      </c>
      <c r="G651">
        <v>483</v>
      </c>
      <c r="H651">
        <v>1932</v>
      </c>
    </row>
    <row r="652" spans="1:8" x14ac:dyDescent="0.25">
      <c r="A652" t="s">
        <v>1180</v>
      </c>
      <c r="B652" s="1">
        <v>44944</v>
      </c>
      <c r="C652" t="s">
        <v>1181</v>
      </c>
      <c r="D652" t="s">
        <v>10</v>
      </c>
      <c r="E652" t="s">
        <v>35</v>
      </c>
      <c r="F652">
        <v>3</v>
      </c>
      <c r="G652">
        <v>643</v>
      </c>
      <c r="H652">
        <v>1929</v>
      </c>
    </row>
    <row r="653" spans="1:8" x14ac:dyDescent="0.25">
      <c r="A653" t="s">
        <v>1573</v>
      </c>
      <c r="B653" s="1">
        <v>45216</v>
      </c>
      <c r="C653" t="s">
        <v>161</v>
      </c>
      <c r="D653" t="s">
        <v>10</v>
      </c>
      <c r="E653" t="s">
        <v>14</v>
      </c>
      <c r="F653">
        <v>2</v>
      </c>
      <c r="G653">
        <v>964</v>
      </c>
      <c r="H653">
        <v>1928</v>
      </c>
    </row>
    <row r="654" spans="1:8" x14ac:dyDescent="0.25">
      <c r="A654" t="s">
        <v>868</v>
      </c>
      <c r="B654" s="1">
        <v>45585</v>
      </c>
      <c r="C654" t="s">
        <v>199</v>
      </c>
      <c r="D654" t="s">
        <v>17</v>
      </c>
      <c r="E654" t="s">
        <v>14</v>
      </c>
      <c r="F654">
        <v>3</v>
      </c>
      <c r="G654">
        <v>642</v>
      </c>
      <c r="H654">
        <v>1926</v>
      </c>
    </row>
    <row r="655" spans="1:8" x14ac:dyDescent="0.25">
      <c r="A655" t="s">
        <v>1810</v>
      </c>
      <c r="B655" s="1">
        <v>45434</v>
      </c>
      <c r="C655" t="s">
        <v>179</v>
      </c>
      <c r="D655" t="s">
        <v>27</v>
      </c>
      <c r="E655" t="s">
        <v>11</v>
      </c>
      <c r="F655">
        <v>3</v>
      </c>
      <c r="G655">
        <v>641</v>
      </c>
      <c r="H655">
        <v>1923</v>
      </c>
    </row>
    <row r="656" spans="1:8" x14ac:dyDescent="0.25">
      <c r="A656" t="s">
        <v>503</v>
      </c>
      <c r="B656" s="1">
        <v>45423</v>
      </c>
      <c r="C656" t="s">
        <v>504</v>
      </c>
      <c r="D656" t="s">
        <v>20</v>
      </c>
      <c r="E656" t="s">
        <v>11</v>
      </c>
      <c r="F656">
        <v>2</v>
      </c>
      <c r="G656">
        <v>956</v>
      </c>
      <c r="H656">
        <v>1912</v>
      </c>
    </row>
    <row r="657" spans="1:8" x14ac:dyDescent="0.25">
      <c r="A657" t="s">
        <v>772</v>
      </c>
      <c r="B657" s="1">
        <v>45079</v>
      </c>
      <c r="C657" t="s">
        <v>13</v>
      </c>
      <c r="D657" t="s">
        <v>17</v>
      </c>
      <c r="E657" t="s">
        <v>14</v>
      </c>
      <c r="F657">
        <v>2</v>
      </c>
      <c r="G657">
        <v>956</v>
      </c>
      <c r="H657">
        <v>1912</v>
      </c>
    </row>
    <row r="658" spans="1:8" x14ac:dyDescent="0.25">
      <c r="A658" t="s">
        <v>805</v>
      </c>
      <c r="B658" s="1">
        <v>45083</v>
      </c>
      <c r="C658" t="s">
        <v>382</v>
      </c>
      <c r="D658" t="s">
        <v>20</v>
      </c>
      <c r="E658" t="s">
        <v>25</v>
      </c>
      <c r="F658">
        <v>5</v>
      </c>
      <c r="G658">
        <v>382</v>
      </c>
      <c r="H658">
        <v>1910</v>
      </c>
    </row>
    <row r="659" spans="1:8" x14ac:dyDescent="0.25">
      <c r="A659" t="s">
        <v>1427</v>
      </c>
      <c r="B659" s="1">
        <v>45262</v>
      </c>
      <c r="C659" t="s">
        <v>161</v>
      </c>
      <c r="D659" t="s">
        <v>17</v>
      </c>
      <c r="E659" t="s">
        <v>35</v>
      </c>
      <c r="F659">
        <v>4</v>
      </c>
      <c r="G659">
        <v>477</v>
      </c>
      <c r="H659">
        <v>1908</v>
      </c>
    </row>
    <row r="660" spans="1:8" x14ac:dyDescent="0.25">
      <c r="A660" t="s">
        <v>1730</v>
      </c>
      <c r="B660" s="1">
        <v>45023</v>
      </c>
      <c r="C660" t="s">
        <v>874</v>
      </c>
      <c r="D660" t="s">
        <v>10</v>
      </c>
      <c r="E660" t="s">
        <v>25</v>
      </c>
      <c r="F660">
        <v>2</v>
      </c>
      <c r="G660">
        <v>954</v>
      </c>
      <c r="H660">
        <v>1908</v>
      </c>
    </row>
    <row r="661" spans="1:8" x14ac:dyDescent="0.25">
      <c r="A661" t="s">
        <v>963</v>
      </c>
      <c r="B661" s="1">
        <v>45342</v>
      </c>
      <c r="C661" t="s">
        <v>326</v>
      </c>
      <c r="D661" t="s">
        <v>20</v>
      </c>
      <c r="E661" t="s">
        <v>35</v>
      </c>
      <c r="F661">
        <v>2</v>
      </c>
      <c r="G661">
        <v>952</v>
      </c>
      <c r="H661">
        <v>1904</v>
      </c>
    </row>
    <row r="662" spans="1:8" x14ac:dyDescent="0.25">
      <c r="A662" t="s">
        <v>116</v>
      </c>
      <c r="B662" s="1">
        <v>45470</v>
      </c>
      <c r="C662" t="s">
        <v>117</v>
      </c>
      <c r="D662" t="s">
        <v>20</v>
      </c>
      <c r="E662" t="s">
        <v>35</v>
      </c>
      <c r="F662">
        <v>3</v>
      </c>
      <c r="G662">
        <v>632</v>
      </c>
      <c r="H662">
        <v>1896</v>
      </c>
    </row>
    <row r="663" spans="1:8" x14ac:dyDescent="0.25">
      <c r="A663" t="s">
        <v>1122</v>
      </c>
      <c r="B663" s="1">
        <v>45532</v>
      </c>
      <c r="C663" t="s">
        <v>306</v>
      </c>
      <c r="D663" t="s">
        <v>10</v>
      </c>
      <c r="E663" t="s">
        <v>25</v>
      </c>
      <c r="F663">
        <v>4</v>
      </c>
      <c r="G663">
        <v>473</v>
      </c>
      <c r="H663">
        <v>1892</v>
      </c>
    </row>
    <row r="664" spans="1:8" x14ac:dyDescent="0.25">
      <c r="A664" t="s">
        <v>813</v>
      </c>
      <c r="B664" s="1">
        <v>45052</v>
      </c>
      <c r="C664" t="s">
        <v>177</v>
      </c>
      <c r="D664" t="s">
        <v>10</v>
      </c>
      <c r="E664" t="s">
        <v>35</v>
      </c>
      <c r="F664">
        <v>2</v>
      </c>
      <c r="G664">
        <v>942</v>
      </c>
      <c r="H664">
        <v>1884</v>
      </c>
    </row>
    <row r="665" spans="1:8" x14ac:dyDescent="0.25">
      <c r="A665" t="s">
        <v>1482</v>
      </c>
      <c r="B665" s="1">
        <v>45043</v>
      </c>
      <c r="C665" t="s">
        <v>929</v>
      </c>
      <c r="D665" t="s">
        <v>17</v>
      </c>
      <c r="E665" t="s">
        <v>11</v>
      </c>
      <c r="F665">
        <v>4</v>
      </c>
      <c r="G665">
        <v>471</v>
      </c>
      <c r="H665">
        <v>1884</v>
      </c>
    </row>
    <row r="666" spans="1:8" x14ac:dyDescent="0.25">
      <c r="A666" t="s">
        <v>231</v>
      </c>
      <c r="B666" s="1">
        <v>45623</v>
      </c>
      <c r="C666" t="s">
        <v>232</v>
      </c>
      <c r="D666" t="s">
        <v>27</v>
      </c>
      <c r="E666" t="s">
        <v>35</v>
      </c>
      <c r="F666">
        <v>2</v>
      </c>
      <c r="G666">
        <v>941</v>
      </c>
      <c r="H666">
        <v>1882</v>
      </c>
    </row>
    <row r="667" spans="1:8" x14ac:dyDescent="0.25">
      <c r="A667" t="s">
        <v>1248</v>
      </c>
      <c r="B667" s="1">
        <v>45171</v>
      </c>
      <c r="C667" t="s">
        <v>927</v>
      </c>
      <c r="D667" t="s">
        <v>17</v>
      </c>
      <c r="E667" t="s">
        <v>14</v>
      </c>
      <c r="F667">
        <v>3</v>
      </c>
      <c r="G667">
        <v>627</v>
      </c>
      <c r="H667">
        <v>1881</v>
      </c>
    </row>
    <row r="668" spans="1:8" x14ac:dyDescent="0.25">
      <c r="A668" t="s">
        <v>402</v>
      </c>
      <c r="B668" s="1">
        <v>44927</v>
      </c>
      <c r="C668" t="s">
        <v>304</v>
      </c>
      <c r="D668" t="s">
        <v>17</v>
      </c>
      <c r="E668" t="s">
        <v>32</v>
      </c>
      <c r="F668">
        <v>2</v>
      </c>
      <c r="G668">
        <v>938</v>
      </c>
      <c r="H668">
        <v>1876</v>
      </c>
    </row>
    <row r="669" spans="1:8" x14ac:dyDescent="0.25">
      <c r="A669" t="s">
        <v>461</v>
      </c>
      <c r="B669" s="1">
        <v>45618</v>
      </c>
      <c r="C669" t="s">
        <v>358</v>
      </c>
      <c r="D669" t="s">
        <v>17</v>
      </c>
      <c r="E669" t="s">
        <v>35</v>
      </c>
      <c r="F669">
        <v>2</v>
      </c>
      <c r="G669">
        <v>938</v>
      </c>
      <c r="H669">
        <v>1876</v>
      </c>
    </row>
    <row r="670" spans="1:8" x14ac:dyDescent="0.25">
      <c r="A670" t="s">
        <v>190</v>
      </c>
      <c r="B670" s="1">
        <v>45078</v>
      </c>
      <c r="C670" t="s">
        <v>191</v>
      </c>
      <c r="D670" t="s">
        <v>27</v>
      </c>
      <c r="E670" t="s">
        <v>14</v>
      </c>
      <c r="F670">
        <v>2</v>
      </c>
      <c r="G670">
        <v>937</v>
      </c>
      <c r="H670">
        <v>1874</v>
      </c>
    </row>
    <row r="671" spans="1:8" x14ac:dyDescent="0.25">
      <c r="A671" t="s">
        <v>802</v>
      </c>
      <c r="B671" s="1">
        <v>45143</v>
      </c>
      <c r="C671" t="s">
        <v>799</v>
      </c>
      <c r="D671" t="s">
        <v>20</v>
      </c>
      <c r="E671" t="s">
        <v>11</v>
      </c>
      <c r="F671">
        <v>2</v>
      </c>
      <c r="G671">
        <v>937</v>
      </c>
      <c r="H671">
        <v>1874</v>
      </c>
    </row>
    <row r="672" spans="1:8" x14ac:dyDescent="0.25">
      <c r="A672" t="s">
        <v>1509</v>
      </c>
      <c r="B672" s="1">
        <v>45235</v>
      </c>
      <c r="C672" t="s">
        <v>121</v>
      </c>
      <c r="D672" t="s">
        <v>27</v>
      </c>
      <c r="E672" t="s">
        <v>35</v>
      </c>
      <c r="F672">
        <v>4</v>
      </c>
      <c r="G672">
        <v>468</v>
      </c>
      <c r="H672">
        <v>1872</v>
      </c>
    </row>
    <row r="673" spans="1:8" x14ac:dyDescent="0.25">
      <c r="A673" t="s">
        <v>195</v>
      </c>
      <c r="B673" s="1">
        <v>44980</v>
      </c>
      <c r="C673" t="s">
        <v>161</v>
      </c>
      <c r="D673" t="s">
        <v>27</v>
      </c>
      <c r="E673" t="s">
        <v>14</v>
      </c>
      <c r="F673">
        <v>5</v>
      </c>
      <c r="G673">
        <v>373</v>
      </c>
      <c r="H673">
        <v>1865</v>
      </c>
    </row>
    <row r="674" spans="1:8" x14ac:dyDescent="0.25">
      <c r="A674" t="s">
        <v>729</v>
      </c>
      <c r="B674" s="1">
        <v>45225</v>
      </c>
      <c r="C674" t="s">
        <v>657</v>
      </c>
      <c r="D674" t="s">
        <v>20</v>
      </c>
      <c r="E674" t="s">
        <v>35</v>
      </c>
      <c r="F674">
        <v>4</v>
      </c>
      <c r="G674">
        <v>466</v>
      </c>
      <c r="H674">
        <v>1864</v>
      </c>
    </row>
    <row r="675" spans="1:8" x14ac:dyDescent="0.25">
      <c r="A675" t="s">
        <v>1019</v>
      </c>
      <c r="B675" s="1">
        <v>44986</v>
      </c>
      <c r="C675" t="s">
        <v>706</v>
      </c>
      <c r="D675" t="s">
        <v>10</v>
      </c>
      <c r="E675" t="s">
        <v>11</v>
      </c>
      <c r="F675">
        <v>4</v>
      </c>
      <c r="G675">
        <v>465</v>
      </c>
      <c r="H675">
        <v>1860</v>
      </c>
    </row>
    <row r="676" spans="1:8" x14ac:dyDescent="0.25">
      <c r="A676" t="s">
        <v>1562</v>
      </c>
      <c r="B676" s="1">
        <v>45351</v>
      </c>
      <c r="C676" t="s">
        <v>647</v>
      </c>
      <c r="D676" t="s">
        <v>20</v>
      </c>
      <c r="E676" t="s">
        <v>32</v>
      </c>
      <c r="F676">
        <v>5</v>
      </c>
      <c r="G676">
        <v>372</v>
      </c>
      <c r="H676">
        <v>1860</v>
      </c>
    </row>
    <row r="677" spans="1:8" x14ac:dyDescent="0.25">
      <c r="A677" t="s">
        <v>1479</v>
      </c>
      <c r="B677" s="1">
        <v>45345</v>
      </c>
      <c r="C677" t="s">
        <v>263</v>
      </c>
      <c r="D677" t="s">
        <v>20</v>
      </c>
      <c r="E677" t="s">
        <v>25</v>
      </c>
      <c r="F677">
        <v>3</v>
      </c>
      <c r="G677">
        <v>619</v>
      </c>
      <c r="H677">
        <v>1857</v>
      </c>
    </row>
    <row r="678" spans="1:8" x14ac:dyDescent="0.25">
      <c r="A678" t="s">
        <v>613</v>
      </c>
      <c r="B678" s="1">
        <v>45528</v>
      </c>
      <c r="C678" t="s">
        <v>614</v>
      </c>
      <c r="D678" t="s">
        <v>17</v>
      </c>
      <c r="E678" t="s">
        <v>14</v>
      </c>
      <c r="F678">
        <v>2</v>
      </c>
      <c r="G678">
        <v>927</v>
      </c>
      <c r="H678">
        <v>1854</v>
      </c>
    </row>
    <row r="679" spans="1:8" x14ac:dyDescent="0.25">
      <c r="A679" t="s">
        <v>1433</v>
      </c>
      <c r="B679" s="1">
        <v>45371</v>
      </c>
      <c r="C679" t="s">
        <v>373</v>
      </c>
      <c r="D679" t="s">
        <v>17</v>
      </c>
      <c r="E679" t="s">
        <v>11</v>
      </c>
      <c r="F679">
        <v>2</v>
      </c>
      <c r="G679">
        <v>926</v>
      </c>
      <c r="H679">
        <v>1852</v>
      </c>
    </row>
    <row r="680" spans="1:8" x14ac:dyDescent="0.25">
      <c r="A680" t="s">
        <v>1566</v>
      </c>
      <c r="B680" s="1">
        <v>45474</v>
      </c>
      <c r="C680" t="s">
        <v>1066</v>
      </c>
      <c r="D680" t="s">
        <v>27</v>
      </c>
      <c r="E680" t="s">
        <v>14</v>
      </c>
      <c r="F680">
        <v>3</v>
      </c>
      <c r="G680">
        <v>617</v>
      </c>
      <c r="H680">
        <v>1851</v>
      </c>
    </row>
    <row r="681" spans="1:8" x14ac:dyDescent="0.25">
      <c r="A681" t="s">
        <v>1660</v>
      </c>
      <c r="B681" s="1">
        <v>45063</v>
      </c>
      <c r="C681" t="s">
        <v>343</v>
      </c>
      <c r="D681" t="s">
        <v>17</v>
      </c>
      <c r="E681" t="s">
        <v>32</v>
      </c>
      <c r="F681">
        <v>5</v>
      </c>
      <c r="G681">
        <v>370</v>
      </c>
      <c r="H681">
        <v>1850</v>
      </c>
    </row>
    <row r="682" spans="1:8" x14ac:dyDescent="0.25">
      <c r="A682" t="s">
        <v>143</v>
      </c>
      <c r="B682" s="1">
        <v>45224</v>
      </c>
      <c r="C682" t="s">
        <v>144</v>
      </c>
      <c r="D682" t="s">
        <v>10</v>
      </c>
      <c r="E682" t="s">
        <v>25</v>
      </c>
      <c r="F682">
        <v>2</v>
      </c>
      <c r="G682">
        <v>922</v>
      </c>
      <c r="H682">
        <v>1844</v>
      </c>
    </row>
    <row r="683" spans="1:8" x14ac:dyDescent="0.25">
      <c r="A683" t="s">
        <v>883</v>
      </c>
      <c r="B683" s="1">
        <v>45255</v>
      </c>
      <c r="C683" t="s">
        <v>332</v>
      </c>
      <c r="D683" t="s">
        <v>27</v>
      </c>
      <c r="E683" t="s">
        <v>14</v>
      </c>
      <c r="F683">
        <v>2</v>
      </c>
      <c r="G683">
        <v>921</v>
      </c>
      <c r="H683">
        <v>1842</v>
      </c>
    </row>
    <row r="684" spans="1:8" x14ac:dyDescent="0.25">
      <c r="A684" t="s">
        <v>1454</v>
      </c>
      <c r="B684" s="1">
        <v>45196</v>
      </c>
      <c r="C684" t="s">
        <v>326</v>
      </c>
      <c r="D684" t="s">
        <v>20</v>
      </c>
      <c r="E684" t="s">
        <v>35</v>
      </c>
      <c r="F684">
        <v>2</v>
      </c>
      <c r="G684">
        <v>921</v>
      </c>
      <c r="H684">
        <v>1842</v>
      </c>
    </row>
    <row r="685" spans="1:8" x14ac:dyDescent="0.25">
      <c r="A685" t="s">
        <v>1025</v>
      </c>
      <c r="B685" s="1">
        <v>45391</v>
      </c>
      <c r="C685" t="s">
        <v>47</v>
      </c>
      <c r="D685" t="s">
        <v>20</v>
      </c>
      <c r="E685" t="s">
        <v>35</v>
      </c>
      <c r="F685">
        <v>2</v>
      </c>
      <c r="G685">
        <v>919</v>
      </c>
      <c r="H685">
        <v>1838</v>
      </c>
    </row>
    <row r="686" spans="1:8" x14ac:dyDescent="0.25">
      <c r="A686" t="s">
        <v>388</v>
      </c>
      <c r="B686" s="1">
        <v>45093</v>
      </c>
      <c r="C686" t="s">
        <v>389</v>
      </c>
      <c r="D686" t="s">
        <v>17</v>
      </c>
      <c r="E686" t="s">
        <v>11</v>
      </c>
      <c r="F686">
        <v>5</v>
      </c>
      <c r="G686">
        <v>367</v>
      </c>
      <c r="H686">
        <v>1835</v>
      </c>
    </row>
    <row r="687" spans="1:8" x14ac:dyDescent="0.25">
      <c r="A687" t="s">
        <v>62</v>
      </c>
      <c r="B687" s="1">
        <v>45435</v>
      </c>
      <c r="C687" t="s">
        <v>63</v>
      </c>
      <c r="D687" t="s">
        <v>17</v>
      </c>
      <c r="E687" t="s">
        <v>11</v>
      </c>
      <c r="F687">
        <v>2</v>
      </c>
      <c r="G687">
        <v>915</v>
      </c>
      <c r="H687">
        <v>1830</v>
      </c>
    </row>
    <row r="688" spans="1:8" x14ac:dyDescent="0.25">
      <c r="A688" t="s">
        <v>1425</v>
      </c>
      <c r="B688" s="1">
        <v>45238</v>
      </c>
      <c r="C688" t="s">
        <v>1426</v>
      </c>
      <c r="D688" t="s">
        <v>17</v>
      </c>
      <c r="E688" t="s">
        <v>14</v>
      </c>
      <c r="F688">
        <v>2</v>
      </c>
      <c r="G688">
        <v>914</v>
      </c>
      <c r="H688">
        <v>1828</v>
      </c>
    </row>
    <row r="689" spans="1:8" x14ac:dyDescent="0.25">
      <c r="A689" t="s">
        <v>487</v>
      </c>
      <c r="B689" s="1">
        <v>45354</v>
      </c>
      <c r="C689" t="s">
        <v>150</v>
      </c>
      <c r="D689" t="s">
        <v>10</v>
      </c>
      <c r="E689" t="s">
        <v>35</v>
      </c>
      <c r="F689">
        <v>4</v>
      </c>
      <c r="G689">
        <v>453</v>
      </c>
      <c r="H689">
        <v>1812</v>
      </c>
    </row>
    <row r="690" spans="1:8" x14ac:dyDescent="0.25">
      <c r="A690" t="s">
        <v>567</v>
      </c>
      <c r="B690" s="1">
        <v>45569</v>
      </c>
      <c r="C690" t="s">
        <v>282</v>
      </c>
      <c r="D690" t="s">
        <v>10</v>
      </c>
      <c r="E690" t="s">
        <v>14</v>
      </c>
      <c r="F690">
        <v>3</v>
      </c>
      <c r="G690">
        <v>604</v>
      </c>
      <c r="H690">
        <v>1812</v>
      </c>
    </row>
    <row r="691" spans="1:8" x14ac:dyDescent="0.25">
      <c r="A691" t="s">
        <v>771</v>
      </c>
      <c r="B691" s="1">
        <v>45252</v>
      </c>
      <c r="C691" t="s">
        <v>254</v>
      </c>
      <c r="D691" t="s">
        <v>20</v>
      </c>
      <c r="E691" t="s">
        <v>14</v>
      </c>
      <c r="F691">
        <v>3</v>
      </c>
      <c r="G691">
        <v>604</v>
      </c>
      <c r="H691">
        <v>1812</v>
      </c>
    </row>
    <row r="692" spans="1:8" x14ac:dyDescent="0.25">
      <c r="A692" t="s">
        <v>133</v>
      </c>
      <c r="B692" s="1">
        <v>45591</v>
      </c>
      <c r="C692" t="s">
        <v>134</v>
      </c>
      <c r="D692" t="s">
        <v>17</v>
      </c>
      <c r="E692" t="s">
        <v>14</v>
      </c>
      <c r="F692">
        <v>5</v>
      </c>
      <c r="G692">
        <v>362</v>
      </c>
      <c r="H692">
        <v>1810</v>
      </c>
    </row>
    <row r="693" spans="1:8" x14ac:dyDescent="0.25">
      <c r="A693" t="s">
        <v>1290</v>
      </c>
      <c r="B693" s="1">
        <v>45373</v>
      </c>
      <c r="C693" t="s">
        <v>138</v>
      </c>
      <c r="D693" t="s">
        <v>17</v>
      </c>
      <c r="E693" t="s">
        <v>11</v>
      </c>
      <c r="F693">
        <v>4</v>
      </c>
      <c r="G693">
        <v>452</v>
      </c>
      <c r="H693">
        <v>1808</v>
      </c>
    </row>
    <row r="694" spans="1:8" x14ac:dyDescent="0.25">
      <c r="A694" t="s">
        <v>1350</v>
      </c>
      <c r="B694" s="1">
        <v>45107</v>
      </c>
      <c r="C694" t="s">
        <v>45</v>
      </c>
      <c r="D694" t="s">
        <v>10</v>
      </c>
      <c r="E694" t="s">
        <v>14</v>
      </c>
      <c r="F694">
        <v>4</v>
      </c>
      <c r="G694">
        <v>452</v>
      </c>
      <c r="H694">
        <v>1808</v>
      </c>
    </row>
    <row r="695" spans="1:8" x14ac:dyDescent="0.25">
      <c r="A695" t="s">
        <v>1541</v>
      </c>
      <c r="B695" s="1">
        <v>45561</v>
      </c>
      <c r="C695" t="s">
        <v>618</v>
      </c>
      <c r="D695" t="s">
        <v>10</v>
      </c>
      <c r="E695" t="s">
        <v>11</v>
      </c>
      <c r="F695">
        <v>5</v>
      </c>
      <c r="G695">
        <v>360</v>
      </c>
      <c r="H695">
        <v>1800</v>
      </c>
    </row>
    <row r="696" spans="1:8" x14ac:dyDescent="0.25">
      <c r="A696" t="s">
        <v>1115</v>
      </c>
      <c r="B696" s="1">
        <v>45039</v>
      </c>
      <c r="C696" t="s">
        <v>429</v>
      </c>
      <c r="D696" t="s">
        <v>17</v>
      </c>
      <c r="E696" t="s">
        <v>35</v>
      </c>
      <c r="F696">
        <v>2</v>
      </c>
      <c r="G696">
        <v>899</v>
      </c>
      <c r="H696">
        <v>1798</v>
      </c>
    </row>
    <row r="697" spans="1:8" x14ac:dyDescent="0.25">
      <c r="A697" t="s">
        <v>1016</v>
      </c>
      <c r="B697" s="1">
        <v>45177</v>
      </c>
      <c r="C697" t="s">
        <v>698</v>
      </c>
      <c r="D697" t="s">
        <v>20</v>
      </c>
      <c r="E697" t="s">
        <v>11</v>
      </c>
      <c r="F697">
        <v>4</v>
      </c>
      <c r="G697">
        <v>449</v>
      </c>
      <c r="H697">
        <v>1796</v>
      </c>
    </row>
    <row r="698" spans="1:8" x14ac:dyDescent="0.25">
      <c r="A698" t="s">
        <v>1539</v>
      </c>
      <c r="B698" s="1">
        <v>45349</v>
      </c>
      <c r="C698" t="s">
        <v>136</v>
      </c>
      <c r="D698" t="s">
        <v>27</v>
      </c>
      <c r="E698" t="s">
        <v>35</v>
      </c>
      <c r="F698">
        <v>2</v>
      </c>
      <c r="G698">
        <v>894</v>
      </c>
      <c r="H698">
        <v>1788</v>
      </c>
    </row>
    <row r="699" spans="1:8" x14ac:dyDescent="0.25">
      <c r="A699" t="s">
        <v>680</v>
      </c>
      <c r="B699" s="1">
        <v>45520</v>
      </c>
      <c r="C699" t="s">
        <v>278</v>
      </c>
      <c r="D699" t="s">
        <v>20</v>
      </c>
      <c r="E699" t="s">
        <v>35</v>
      </c>
      <c r="F699">
        <v>3</v>
      </c>
      <c r="G699">
        <v>594</v>
      </c>
      <c r="H699">
        <v>1782</v>
      </c>
    </row>
    <row r="700" spans="1:8" x14ac:dyDescent="0.25">
      <c r="A700" t="s">
        <v>1156</v>
      </c>
      <c r="B700" s="1">
        <v>45151</v>
      </c>
      <c r="C700" t="s">
        <v>490</v>
      </c>
      <c r="D700" t="s">
        <v>27</v>
      </c>
      <c r="E700" t="s">
        <v>25</v>
      </c>
      <c r="F700">
        <v>3</v>
      </c>
      <c r="G700">
        <v>594</v>
      </c>
      <c r="H700">
        <v>1782</v>
      </c>
    </row>
    <row r="701" spans="1:8" x14ac:dyDescent="0.25">
      <c r="A701" t="s">
        <v>1149</v>
      </c>
      <c r="B701" s="1">
        <v>45135</v>
      </c>
      <c r="C701" t="s">
        <v>1150</v>
      </c>
      <c r="D701" t="s">
        <v>20</v>
      </c>
      <c r="E701" t="s">
        <v>25</v>
      </c>
      <c r="F701">
        <v>4</v>
      </c>
      <c r="G701">
        <v>445</v>
      </c>
      <c r="H701">
        <v>1780</v>
      </c>
    </row>
    <row r="702" spans="1:8" x14ac:dyDescent="0.25">
      <c r="A702" t="s">
        <v>8</v>
      </c>
      <c r="B702" s="1">
        <v>45041</v>
      </c>
      <c r="C702" t="s">
        <v>9</v>
      </c>
      <c r="D702" t="s">
        <v>10</v>
      </c>
      <c r="E702" t="s">
        <v>11</v>
      </c>
      <c r="F702">
        <v>2</v>
      </c>
      <c r="G702">
        <v>886</v>
      </c>
      <c r="H702">
        <v>1772</v>
      </c>
    </row>
    <row r="703" spans="1:8" x14ac:dyDescent="0.25">
      <c r="A703" t="s">
        <v>724</v>
      </c>
      <c r="B703" s="1">
        <v>45000</v>
      </c>
      <c r="C703" t="s">
        <v>261</v>
      </c>
      <c r="D703" t="s">
        <v>27</v>
      </c>
      <c r="E703" t="s">
        <v>14</v>
      </c>
      <c r="F703">
        <v>4</v>
      </c>
      <c r="G703">
        <v>443</v>
      </c>
      <c r="H703">
        <v>1772</v>
      </c>
    </row>
    <row r="704" spans="1:8" x14ac:dyDescent="0.25">
      <c r="A704" t="s">
        <v>790</v>
      </c>
      <c r="B704" s="1">
        <v>45323</v>
      </c>
      <c r="C704" t="s">
        <v>452</v>
      </c>
      <c r="D704" t="s">
        <v>27</v>
      </c>
      <c r="E704" t="s">
        <v>32</v>
      </c>
      <c r="F704">
        <v>3</v>
      </c>
      <c r="G704">
        <v>590</v>
      </c>
      <c r="H704">
        <v>1770</v>
      </c>
    </row>
    <row r="705" spans="1:8" x14ac:dyDescent="0.25">
      <c r="A705" t="s">
        <v>693</v>
      </c>
      <c r="B705" s="1">
        <v>45352</v>
      </c>
      <c r="C705" t="s">
        <v>191</v>
      </c>
      <c r="D705" t="s">
        <v>17</v>
      </c>
      <c r="E705" t="s">
        <v>25</v>
      </c>
      <c r="F705">
        <v>4</v>
      </c>
      <c r="G705">
        <v>442</v>
      </c>
      <c r="H705">
        <v>1768</v>
      </c>
    </row>
    <row r="706" spans="1:8" x14ac:dyDescent="0.25">
      <c r="A706" t="s">
        <v>832</v>
      </c>
      <c r="B706" s="1">
        <v>45373</v>
      </c>
      <c r="C706" t="s">
        <v>161</v>
      </c>
      <c r="D706" t="s">
        <v>17</v>
      </c>
      <c r="E706" t="s">
        <v>35</v>
      </c>
      <c r="F706">
        <v>5</v>
      </c>
      <c r="G706">
        <v>353</v>
      </c>
      <c r="H706">
        <v>1765</v>
      </c>
    </row>
    <row r="707" spans="1:8" x14ac:dyDescent="0.25">
      <c r="A707" t="s">
        <v>445</v>
      </c>
      <c r="B707" s="1">
        <v>45406</v>
      </c>
      <c r="C707" t="s">
        <v>446</v>
      </c>
      <c r="D707" t="s">
        <v>17</v>
      </c>
      <c r="E707" t="s">
        <v>11</v>
      </c>
      <c r="F707">
        <v>4</v>
      </c>
      <c r="G707">
        <v>441</v>
      </c>
      <c r="H707">
        <v>1764</v>
      </c>
    </row>
    <row r="708" spans="1:8" x14ac:dyDescent="0.25">
      <c r="A708" t="s">
        <v>961</v>
      </c>
      <c r="B708" s="1">
        <v>45604</v>
      </c>
      <c r="C708" t="s">
        <v>78</v>
      </c>
      <c r="D708" t="s">
        <v>10</v>
      </c>
      <c r="E708" t="s">
        <v>25</v>
      </c>
      <c r="F708">
        <v>3</v>
      </c>
      <c r="G708">
        <v>588</v>
      </c>
      <c r="H708">
        <v>1764</v>
      </c>
    </row>
    <row r="709" spans="1:8" x14ac:dyDescent="0.25">
      <c r="A709" t="s">
        <v>928</v>
      </c>
      <c r="B709" s="1">
        <v>45473</v>
      </c>
      <c r="C709" t="s">
        <v>929</v>
      </c>
      <c r="D709" t="s">
        <v>27</v>
      </c>
      <c r="E709" t="s">
        <v>25</v>
      </c>
      <c r="F709">
        <v>4</v>
      </c>
      <c r="G709">
        <v>439</v>
      </c>
      <c r="H709">
        <v>1756</v>
      </c>
    </row>
    <row r="710" spans="1:8" x14ac:dyDescent="0.25">
      <c r="A710" t="s">
        <v>1622</v>
      </c>
      <c r="B710" s="1">
        <v>45083</v>
      </c>
      <c r="C710" t="s">
        <v>37</v>
      </c>
      <c r="D710" t="s">
        <v>20</v>
      </c>
      <c r="E710" t="s">
        <v>32</v>
      </c>
      <c r="F710">
        <v>3</v>
      </c>
      <c r="G710">
        <v>583</v>
      </c>
      <c r="H710">
        <v>1749</v>
      </c>
    </row>
    <row r="711" spans="1:8" x14ac:dyDescent="0.25">
      <c r="A711" t="s">
        <v>1359</v>
      </c>
      <c r="B711" s="1">
        <v>45397</v>
      </c>
      <c r="C711" t="s">
        <v>764</v>
      </c>
      <c r="D711" t="s">
        <v>10</v>
      </c>
      <c r="E711" t="s">
        <v>35</v>
      </c>
      <c r="F711">
        <v>3</v>
      </c>
      <c r="G711">
        <v>579</v>
      </c>
      <c r="H711">
        <v>1737</v>
      </c>
    </row>
    <row r="712" spans="1:8" x14ac:dyDescent="0.25">
      <c r="A712" t="s">
        <v>584</v>
      </c>
      <c r="B712" s="1">
        <v>45138</v>
      </c>
      <c r="C712" t="s">
        <v>553</v>
      </c>
      <c r="D712" t="s">
        <v>10</v>
      </c>
      <c r="E712" t="s">
        <v>32</v>
      </c>
      <c r="F712">
        <v>5</v>
      </c>
      <c r="G712">
        <v>346</v>
      </c>
      <c r="H712">
        <v>1730</v>
      </c>
    </row>
    <row r="713" spans="1:8" x14ac:dyDescent="0.25">
      <c r="A713" t="s">
        <v>244</v>
      </c>
      <c r="B713" s="1">
        <v>45300</v>
      </c>
      <c r="C713" t="s">
        <v>106</v>
      </c>
      <c r="D713" t="s">
        <v>20</v>
      </c>
      <c r="E713" t="s">
        <v>35</v>
      </c>
      <c r="F713">
        <v>4</v>
      </c>
      <c r="G713">
        <v>432</v>
      </c>
      <c r="H713">
        <v>1728</v>
      </c>
    </row>
    <row r="714" spans="1:8" x14ac:dyDescent="0.25">
      <c r="A714" t="s">
        <v>555</v>
      </c>
      <c r="B714" s="1">
        <v>45050</v>
      </c>
      <c r="C714" t="s">
        <v>398</v>
      </c>
      <c r="D714" t="s">
        <v>20</v>
      </c>
      <c r="E714" t="s">
        <v>32</v>
      </c>
      <c r="F714">
        <v>3</v>
      </c>
      <c r="G714">
        <v>576</v>
      </c>
      <c r="H714">
        <v>1728</v>
      </c>
    </row>
    <row r="715" spans="1:8" x14ac:dyDescent="0.25">
      <c r="A715" t="s">
        <v>52</v>
      </c>
      <c r="B715" s="1">
        <v>45259</v>
      </c>
      <c r="C715" t="s">
        <v>53</v>
      </c>
      <c r="D715" t="s">
        <v>20</v>
      </c>
      <c r="E715" t="s">
        <v>11</v>
      </c>
      <c r="F715">
        <v>4</v>
      </c>
      <c r="G715">
        <v>431</v>
      </c>
      <c r="H715">
        <v>1724</v>
      </c>
    </row>
    <row r="716" spans="1:8" x14ac:dyDescent="0.25">
      <c r="A716" t="s">
        <v>1068</v>
      </c>
      <c r="B716" s="1">
        <v>45038</v>
      </c>
      <c r="C716" t="s">
        <v>393</v>
      </c>
      <c r="D716" t="s">
        <v>27</v>
      </c>
      <c r="E716" t="s">
        <v>14</v>
      </c>
      <c r="F716">
        <v>2</v>
      </c>
      <c r="G716">
        <v>861</v>
      </c>
      <c r="H716">
        <v>1722</v>
      </c>
    </row>
    <row r="717" spans="1:8" x14ac:dyDescent="0.25">
      <c r="A717" t="s">
        <v>280</v>
      </c>
      <c r="B717" s="1">
        <v>45360</v>
      </c>
      <c r="C717" t="s">
        <v>197</v>
      </c>
      <c r="D717" t="s">
        <v>27</v>
      </c>
      <c r="E717" t="s">
        <v>11</v>
      </c>
      <c r="F717">
        <v>2</v>
      </c>
      <c r="G717">
        <v>858</v>
      </c>
      <c r="H717">
        <v>1716</v>
      </c>
    </row>
    <row r="718" spans="1:8" x14ac:dyDescent="0.25">
      <c r="A718" t="s">
        <v>1356</v>
      </c>
      <c r="B718" s="1">
        <v>45615</v>
      </c>
      <c r="C718" t="s">
        <v>1357</v>
      </c>
      <c r="D718" t="s">
        <v>27</v>
      </c>
      <c r="E718" t="s">
        <v>35</v>
      </c>
      <c r="F718">
        <v>3</v>
      </c>
      <c r="G718">
        <v>572</v>
      </c>
      <c r="H718">
        <v>1716</v>
      </c>
    </row>
    <row r="719" spans="1:8" x14ac:dyDescent="0.25">
      <c r="A719" t="s">
        <v>1551</v>
      </c>
      <c r="B719" s="1">
        <v>45517</v>
      </c>
      <c r="C719" t="s">
        <v>456</v>
      </c>
      <c r="D719" t="s">
        <v>10</v>
      </c>
      <c r="E719" t="s">
        <v>25</v>
      </c>
      <c r="F719">
        <v>4</v>
      </c>
      <c r="G719">
        <v>429</v>
      </c>
      <c r="H719">
        <v>1716</v>
      </c>
    </row>
    <row r="720" spans="1:8" x14ac:dyDescent="0.25">
      <c r="A720" t="s">
        <v>1086</v>
      </c>
      <c r="B720" s="1">
        <v>45323</v>
      </c>
      <c r="C720" t="s">
        <v>55</v>
      </c>
      <c r="D720" t="s">
        <v>27</v>
      </c>
      <c r="E720" t="s">
        <v>25</v>
      </c>
      <c r="F720">
        <v>2</v>
      </c>
      <c r="G720">
        <v>857</v>
      </c>
      <c r="H720">
        <v>1714</v>
      </c>
    </row>
    <row r="721" spans="1:8" x14ac:dyDescent="0.25">
      <c r="A721" t="s">
        <v>612</v>
      </c>
      <c r="B721" s="1">
        <v>44929</v>
      </c>
      <c r="C721" t="s">
        <v>209</v>
      </c>
      <c r="D721" t="s">
        <v>17</v>
      </c>
      <c r="E721" t="s">
        <v>35</v>
      </c>
      <c r="F721">
        <v>3</v>
      </c>
      <c r="G721">
        <v>571</v>
      </c>
      <c r="H721">
        <v>1713</v>
      </c>
    </row>
    <row r="722" spans="1:8" x14ac:dyDescent="0.25">
      <c r="A722" t="s">
        <v>554</v>
      </c>
      <c r="B722" s="1">
        <v>45145</v>
      </c>
      <c r="C722" t="s">
        <v>252</v>
      </c>
      <c r="D722" t="s">
        <v>20</v>
      </c>
      <c r="E722" t="s">
        <v>25</v>
      </c>
      <c r="F722">
        <v>2</v>
      </c>
      <c r="G722">
        <v>854</v>
      </c>
      <c r="H722">
        <v>1708</v>
      </c>
    </row>
    <row r="723" spans="1:8" x14ac:dyDescent="0.25">
      <c r="A723" t="s">
        <v>630</v>
      </c>
      <c r="B723" s="1">
        <v>45117</v>
      </c>
      <c r="C723" t="s">
        <v>480</v>
      </c>
      <c r="D723" t="s">
        <v>20</v>
      </c>
      <c r="E723" t="s">
        <v>11</v>
      </c>
      <c r="F723">
        <v>5</v>
      </c>
      <c r="G723">
        <v>341</v>
      </c>
      <c r="H723">
        <v>1705</v>
      </c>
    </row>
    <row r="724" spans="1:8" x14ac:dyDescent="0.25">
      <c r="A724" t="s">
        <v>803</v>
      </c>
      <c r="B724" s="1">
        <v>45414</v>
      </c>
      <c r="C724" t="s">
        <v>304</v>
      </c>
      <c r="D724" t="s">
        <v>10</v>
      </c>
      <c r="E724" t="s">
        <v>14</v>
      </c>
      <c r="F724">
        <v>2</v>
      </c>
      <c r="G724">
        <v>852</v>
      </c>
      <c r="H724">
        <v>1704</v>
      </c>
    </row>
    <row r="725" spans="1:8" x14ac:dyDescent="0.25">
      <c r="A725" t="s">
        <v>931</v>
      </c>
      <c r="B725" s="1">
        <v>45460</v>
      </c>
      <c r="C725" t="s">
        <v>818</v>
      </c>
      <c r="D725" t="s">
        <v>17</v>
      </c>
      <c r="E725" t="s">
        <v>32</v>
      </c>
      <c r="F725">
        <v>2</v>
      </c>
      <c r="G725">
        <v>851</v>
      </c>
      <c r="H725">
        <v>1702</v>
      </c>
    </row>
    <row r="726" spans="1:8" x14ac:dyDescent="0.25">
      <c r="A726" t="s">
        <v>578</v>
      </c>
      <c r="B726" s="1">
        <v>45584</v>
      </c>
      <c r="C726" t="s">
        <v>22</v>
      </c>
      <c r="D726" t="s">
        <v>27</v>
      </c>
      <c r="E726" t="s">
        <v>14</v>
      </c>
      <c r="F726">
        <v>4</v>
      </c>
      <c r="G726">
        <v>425</v>
      </c>
      <c r="H726">
        <v>1700</v>
      </c>
    </row>
    <row r="727" spans="1:8" x14ac:dyDescent="0.25">
      <c r="A727" t="s">
        <v>887</v>
      </c>
      <c r="B727" s="1">
        <v>45505</v>
      </c>
      <c r="C727" t="s">
        <v>240</v>
      </c>
      <c r="D727" t="s">
        <v>17</v>
      </c>
      <c r="E727" t="s">
        <v>25</v>
      </c>
      <c r="F727">
        <v>3</v>
      </c>
      <c r="G727">
        <v>565</v>
      </c>
      <c r="H727">
        <v>1695</v>
      </c>
    </row>
    <row r="728" spans="1:8" x14ac:dyDescent="0.25">
      <c r="A728" t="s">
        <v>865</v>
      </c>
      <c r="B728" s="1">
        <v>45048</v>
      </c>
      <c r="C728" t="s">
        <v>369</v>
      </c>
      <c r="D728" t="s">
        <v>20</v>
      </c>
      <c r="E728" t="s">
        <v>11</v>
      </c>
      <c r="F728">
        <v>2</v>
      </c>
      <c r="G728">
        <v>846</v>
      </c>
      <c r="H728">
        <v>1692</v>
      </c>
    </row>
    <row r="729" spans="1:8" x14ac:dyDescent="0.25">
      <c r="A729" t="s">
        <v>1512</v>
      </c>
      <c r="B729" s="1">
        <v>45453</v>
      </c>
      <c r="C729" t="s">
        <v>744</v>
      </c>
      <c r="D729" t="s">
        <v>27</v>
      </c>
      <c r="E729" t="s">
        <v>14</v>
      </c>
      <c r="F729">
        <v>3</v>
      </c>
      <c r="G729">
        <v>564</v>
      </c>
      <c r="H729">
        <v>1692</v>
      </c>
    </row>
    <row r="730" spans="1:8" x14ac:dyDescent="0.25">
      <c r="A730" t="s">
        <v>543</v>
      </c>
      <c r="B730" s="1">
        <v>45337</v>
      </c>
      <c r="C730" t="s">
        <v>544</v>
      </c>
      <c r="D730" t="s">
        <v>10</v>
      </c>
      <c r="E730" t="s">
        <v>11</v>
      </c>
      <c r="F730">
        <v>2</v>
      </c>
      <c r="G730">
        <v>844</v>
      </c>
      <c r="H730">
        <v>1688</v>
      </c>
    </row>
    <row r="731" spans="1:8" x14ac:dyDescent="0.25">
      <c r="A731" t="s">
        <v>1292</v>
      </c>
      <c r="B731" s="1">
        <v>45561</v>
      </c>
      <c r="C731" t="s">
        <v>607</v>
      </c>
      <c r="D731" t="s">
        <v>10</v>
      </c>
      <c r="E731" t="s">
        <v>11</v>
      </c>
      <c r="F731">
        <v>2</v>
      </c>
      <c r="G731">
        <v>843</v>
      </c>
      <c r="H731">
        <v>1686</v>
      </c>
    </row>
    <row r="732" spans="1:8" x14ac:dyDescent="0.25">
      <c r="A732" t="s">
        <v>394</v>
      </c>
      <c r="B732" s="1">
        <v>44943</v>
      </c>
      <c r="C732" t="s">
        <v>130</v>
      </c>
      <c r="D732" t="s">
        <v>27</v>
      </c>
      <c r="E732" t="s">
        <v>35</v>
      </c>
      <c r="F732">
        <v>3</v>
      </c>
      <c r="G732">
        <v>561</v>
      </c>
      <c r="H732">
        <v>1683</v>
      </c>
    </row>
    <row r="733" spans="1:8" x14ac:dyDescent="0.25">
      <c r="A733" t="s">
        <v>479</v>
      </c>
      <c r="B733" s="1">
        <v>45000</v>
      </c>
      <c r="C733" t="s">
        <v>480</v>
      </c>
      <c r="D733" t="s">
        <v>27</v>
      </c>
      <c r="E733" t="s">
        <v>25</v>
      </c>
      <c r="F733">
        <v>5</v>
      </c>
      <c r="G733">
        <v>335</v>
      </c>
      <c r="H733">
        <v>1675</v>
      </c>
    </row>
    <row r="734" spans="1:8" x14ac:dyDescent="0.25">
      <c r="A734" t="s">
        <v>909</v>
      </c>
      <c r="B734" s="1">
        <v>45082</v>
      </c>
      <c r="C734" t="s">
        <v>785</v>
      </c>
      <c r="D734" t="s">
        <v>17</v>
      </c>
      <c r="E734" t="s">
        <v>14</v>
      </c>
      <c r="F734">
        <v>5</v>
      </c>
      <c r="G734">
        <v>335</v>
      </c>
      <c r="H734">
        <v>1675</v>
      </c>
    </row>
    <row r="735" spans="1:8" x14ac:dyDescent="0.25">
      <c r="A735" t="s">
        <v>1328</v>
      </c>
      <c r="B735" s="1">
        <v>45164</v>
      </c>
      <c r="C735" t="s">
        <v>358</v>
      </c>
      <c r="D735" t="s">
        <v>20</v>
      </c>
      <c r="E735" t="s">
        <v>35</v>
      </c>
      <c r="F735">
        <v>4</v>
      </c>
      <c r="G735">
        <v>418</v>
      </c>
      <c r="H735">
        <v>1672</v>
      </c>
    </row>
    <row r="736" spans="1:8" x14ac:dyDescent="0.25">
      <c r="A736" t="s">
        <v>596</v>
      </c>
      <c r="B736" s="1">
        <v>45453</v>
      </c>
      <c r="C736" t="s">
        <v>302</v>
      </c>
      <c r="D736" t="s">
        <v>27</v>
      </c>
      <c r="E736" t="s">
        <v>25</v>
      </c>
      <c r="F736">
        <v>2</v>
      </c>
      <c r="G736">
        <v>835</v>
      </c>
      <c r="H736">
        <v>1670</v>
      </c>
    </row>
    <row r="737" spans="1:8" x14ac:dyDescent="0.25">
      <c r="A737" t="s">
        <v>942</v>
      </c>
      <c r="B737" s="1">
        <v>45412</v>
      </c>
      <c r="C737" t="s">
        <v>560</v>
      </c>
      <c r="D737" t="s">
        <v>10</v>
      </c>
      <c r="E737" t="s">
        <v>35</v>
      </c>
      <c r="F737">
        <v>2</v>
      </c>
      <c r="G737">
        <v>835</v>
      </c>
      <c r="H737">
        <v>1670</v>
      </c>
    </row>
    <row r="738" spans="1:8" x14ac:dyDescent="0.25">
      <c r="A738" t="s">
        <v>1689</v>
      </c>
      <c r="B738" s="1">
        <v>45397</v>
      </c>
      <c r="C738" t="s">
        <v>69</v>
      </c>
      <c r="D738" t="s">
        <v>10</v>
      </c>
      <c r="E738" t="s">
        <v>14</v>
      </c>
      <c r="F738">
        <v>5</v>
      </c>
      <c r="G738">
        <v>334</v>
      </c>
      <c r="H738">
        <v>1670</v>
      </c>
    </row>
    <row r="739" spans="1:8" x14ac:dyDescent="0.25">
      <c r="A739" t="s">
        <v>1692</v>
      </c>
      <c r="B739" s="1">
        <v>45180</v>
      </c>
      <c r="C739" t="s">
        <v>605</v>
      </c>
      <c r="D739" t="s">
        <v>17</v>
      </c>
      <c r="E739" t="s">
        <v>32</v>
      </c>
      <c r="F739">
        <v>3</v>
      </c>
      <c r="G739">
        <v>555</v>
      </c>
      <c r="H739">
        <v>1665</v>
      </c>
    </row>
    <row r="740" spans="1:8" x14ac:dyDescent="0.25">
      <c r="A740" t="s">
        <v>346</v>
      </c>
      <c r="B740" s="1">
        <v>45287</v>
      </c>
      <c r="C740" t="s">
        <v>300</v>
      </c>
      <c r="D740" t="s">
        <v>17</v>
      </c>
      <c r="E740" t="s">
        <v>11</v>
      </c>
      <c r="F740">
        <v>2</v>
      </c>
      <c r="G740">
        <v>832</v>
      </c>
      <c r="H740">
        <v>1664</v>
      </c>
    </row>
    <row r="741" spans="1:8" x14ac:dyDescent="0.25">
      <c r="A741" t="s">
        <v>1344</v>
      </c>
      <c r="B741" s="1">
        <v>45165</v>
      </c>
      <c r="C741" t="s">
        <v>320</v>
      </c>
      <c r="D741" t="s">
        <v>10</v>
      </c>
      <c r="E741" t="s">
        <v>35</v>
      </c>
      <c r="F741">
        <v>2</v>
      </c>
      <c r="G741">
        <v>832</v>
      </c>
      <c r="H741">
        <v>1664</v>
      </c>
    </row>
    <row r="742" spans="1:8" x14ac:dyDescent="0.25">
      <c r="A742" t="s">
        <v>1545</v>
      </c>
      <c r="B742" s="1">
        <v>45197</v>
      </c>
      <c r="C742" t="s">
        <v>300</v>
      </c>
      <c r="D742" t="s">
        <v>10</v>
      </c>
      <c r="E742" t="s">
        <v>35</v>
      </c>
      <c r="F742">
        <v>2</v>
      </c>
      <c r="G742">
        <v>832</v>
      </c>
      <c r="H742">
        <v>1664</v>
      </c>
    </row>
    <row r="743" spans="1:8" x14ac:dyDescent="0.25">
      <c r="A743" t="s">
        <v>572</v>
      </c>
      <c r="B743" s="1">
        <v>45212</v>
      </c>
      <c r="C743" t="s">
        <v>216</v>
      </c>
      <c r="D743" t="s">
        <v>20</v>
      </c>
      <c r="E743" t="s">
        <v>14</v>
      </c>
      <c r="F743">
        <v>2</v>
      </c>
      <c r="G743">
        <v>829</v>
      </c>
      <c r="H743">
        <v>1658</v>
      </c>
    </row>
    <row r="744" spans="1:8" x14ac:dyDescent="0.25">
      <c r="A744" t="s">
        <v>474</v>
      </c>
      <c r="B744" s="1">
        <v>45089</v>
      </c>
      <c r="C744" t="s">
        <v>270</v>
      </c>
      <c r="D744" t="s">
        <v>10</v>
      </c>
      <c r="E744" t="s">
        <v>14</v>
      </c>
      <c r="F744">
        <v>3</v>
      </c>
      <c r="G744">
        <v>550</v>
      </c>
      <c r="H744">
        <v>1650</v>
      </c>
    </row>
    <row r="745" spans="1:8" x14ac:dyDescent="0.25">
      <c r="A745" t="s">
        <v>381</v>
      </c>
      <c r="B745" s="1">
        <v>45197</v>
      </c>
      <c r="C745" t="s">
        <v>382</v>
      </c>
      <c r="D745" t="s">
        <v>10</v>
      </c>
      <c r="E745" t="s">
        <v>32</v>
      </c>
      <c r="F745">
        <v>3</v>
      </c>
      <c r="G745">
        <v>549</v>
      </c>
      <c r="H745">
        <v>1647</v>
      </c>
    </row>
    <row r="746" spans="1:8" x14ac:dyDescent="0.25">
      <c r="A746" t="s">
        <v>333</v>
      </c>
      <c r="B746" s="1">
        <v>44992</v>
      </c>
      <c r="C746" t="s">
        <v>334</v>
      </c>
      <c r="D746" t="s">
        <v>17</v>
      </c>
      <c r="E746" t="s">
        <v>32</v>
      </c>
      <c r="F746">
        <v>2</v>
      </c>
      <c r="G746">
        <v>822</v>
      </c>
      <c r="H746">
        <v>1644</v>
      </c>
    </row>
    <row r="747" spans="1:8" x14ac:dyDescent="0.25">
      <c r="A747" t="s">
        <v>1309</v>
      </c>
      <c r="B747" s="1">
        <v>45005</v>
      </c>
      <c r="C747" t="s">
        <v>134</v>
      </c>
      <c r="D747" t="s">
        <v>27</v>
      </c>
      <c r="E747" t="s">
        <v>14</v>
      </c>
      <c r="F747">
        <v>2</v>
      </c>
      <c r="G747">
        <v>821</v>
      </c>
      <c r="H747">
        <v>1642</v>
      </c>
    </row>
    <row r="748" spans="1:8" x14ac:dyDescent="0.25">
      <c r="A748" t="s">
        <v>264</v>
      </c>
      <c r="B748" s="1">
        <v>45273</v>
      </c>
      <c r="C748" t="s">
        <v>156</v>
      </c>
      <c r="D748" t="s">
        <v>20</v>
      </c>
      <c r="E748" t="s">
        <v>14</v>
      </c>
      <c r="F748">
        <v>5</v>
      </c>
      <c r="G748">
        <v>328</v>
      </c>
      <c r="H748">
        <v>1640</v>
      </c>
    </row>
    <row r="749" spans="1:8" x14ac:dyDescent="0.25">
      <c r="A749" t="s">
        <v>673</v>
      </c>
      <c r="B749" s="1">
        <v>45221</v>
      </c>
      <c r="C749" t="s">
        <v>138</v>
      </c>
      <c r="D749" t="s">
        <v>27</v>
      </c>
      <c r="E749" t="s">
        <v>25</v>
      </c>
      <c r="F749">
        <v>2</v>
      </c>
      <c r="G749">
        <v>819</v>
      </c>
      <c r="H749">
        <v>1638</v>
      </c>
    </row>
    <row r="750" spans="1:8" x14ac:dyDescent="0.25">
      <c r="A750" t="s">
        <v>1378</v>
      </c>
      <c r="B750" s="1">
        <v>45570</v>
      </c>
      <c r="C750" t="s">
        <v>589</v>
      </c>
      <c r="D750" t="s">
        <v>20</v>
      </c>
      <c r="E750" t="s">
        <v>32</v>
      </c>
      <c r="F750">
        <v>2</v>
      </c>
      <c r="G750">
        <v>814</v>
      </c>
      <c r="H750">
        <v>1628</v>
      </c>
    </row>
    <row r="751" spans="1:8" x14ac:dyDescent="0.25">
      <c r="A751" t="s">
        <v>1502</v>
      </c>
      <c r="B751" s="1">
        <v>45171</v>
      </c>
      <c r="C751" t="s">
        <v>270</v>
      </c>
      <c r="D751" t="s">
        <v>27</v>
      </c>
      <c r="E751" t="s">
        <v>14</v>
      </c>
      <c r="F751">
        <v>2</v>
      </c>
      <c r="G751">
        <v>814</v>
      </c>
      <c r="H751">
        <v>1628</v>
      </c>
    </row>
    <row r="752" spans="1:8" x14ac:dyDescent="0.25">
      <c r="A752" t="s">
        <v>638</v>
      </c>
      <c r="B752" s="1">
        <v>45136</v>
      </c>
      <c r="C752" t="s">
        <v>47</v>
      </c>
      <c r="D752" t="s">
        <v>10</v>
      </c>
      <c r="E752" t="s">
        <v>32</v>
      </c>
      <c r="F752">
        <v>3</v>
      </c>
      <c r="G752">
        <v>542</v>
      </c>
      <c r="H752">
        <v>1626</v>
      </c>
    </row>
    <row r="753" spans="1:8" x14ac:dyDescent="0.25">
      <c r="A753" t="s">
        <v>308</v>
      </c>
      <c r="B753" s="1">
        <v>45403</v>
      </c>
      <c r="C753" t="s">
        <v>309</v>
      </c>
      <c r="D753" t="s">
        <v>20</v>
      </c>
      <c r="E753" t="s">
        <v>35</v>
      </c>
      <c r="F753">
        <v>2</v>
      </c>
      <c r="G753">
        <v>808</v>
      </c>
      <c r="H753">
        <v>1616</v>
      </c>
    </row>
    <row r="754" spans="1:8" x14ac:dyDescent="0.25">
      <c r="A754" t="s">
        <v>1164</v>
      </c>
      <c r="B754" s="1">
        <v>45225</v>
      </c>
      <c r="C754" t="s">
        <v>938</v>
      </c>
      <c r="D754" t="s">
        <v>27</v>
      </c>
      <c r="E754" t="s">
        <v>11</v>
      </c>
      <c r="F754">
        <v>5</v>
      </c>
      <c r="G754">
        <v>323</v>
      </c>
      <c r="H754">
        <v>1615</v>
      </c>
    </row>
    <row r="755" spans="1:8" x14ac:dyDescent="0.25">
      <c r="A755" t="s">
        <v>897</v>
      </c>
      <c r="B755" s="1">
        <v>45010</v>
      </c>
      <c r="C755" t="s">
        <v>55</v>
      </c>
      <c r="D755" t="s">
        <v>10</v>
      </c>
      <c r="E755" t="s">
        <v>32</v>
      </c>
      <c r="F755">
        <v>4</v>
      </c>
      <c r="G755">
        <v>402</v>
      </c>
      <c r="H755">
        <v>1608</v>
      </c>
    </row>
    <row r="756" spans="1:8" x14ac:dyDescent="0.25">
      <c r="A756" t="s">
        <v>295</v>
      </c>
      <c r="B756" s="1">
        <v>45472</v>
      </c>
      <c r="C756" t="s">
        <v>261</v>
      </c>
      <c r="D756" t="s">
        <v>17</v>
      </c>
      <c r="E756" t="s">
        <v>14</v>
      </c>
      <c r="F756">
        <v>5</v>
      </c>
      <c r="G756">
        <v>321</v>
      </c>
      <c r="H756">
        <v>1605</v>
      </c>
    </row>
    <row r="757" spans="1:8" x14ac:dyDescent="0.25">
      <c r="A757" t="s">
        <v>1656</v>
      </c>
      <c r="B757" s="1">
        <v>45216</v>
      </c>
      <c r="C757" t="s">
        <v>13</v>
      </c>
      <c r="D757" t="s">
        <v>17</v>
      </c>
      <c r="E757" t="s">
        <v>32</v>
      </c>
      <c r="F757">
        <v>5</v>
      </c>
      <c r="G757">
        <v>321</v>
      </c>
      <c r="H757">
        <v>1605</v>
      </c>
    </row>
    <row r="758" spans="1:8" x14ac:dyDescent="0.25">
      <c r="A758" t="s">
        <v>876</v>
      </c>
      <c r="B758" s="1">
        <v>45527</v>
      </c>
      <c r="C758" t="s">
        <v>223</v>
      </c>
      <c r="D758" t="s">
        <v>10</v>
      </c>
      <c r="E758" t="s">
        <v>11</v>
      </c>
      <c r="F758">
        <v>5</v>
      </c>
      <c r="G758">
        <v>320</v>
      </c>
      <c r="H758">
        <v>1600</v>
      </c>
    </row>
    <row r="759" spans="1:8" x14ac:dyDescent="0.25">
      <c r="A759" t="s">
        <v>827</v>
      </c>
      <c r="B759" s="1">
        <v>45302</v>
      </c>
      <c r="C759" t="s">
        <v>652</v>
      </c>
      <c r="D759" t="s">
        <v>17</v>
      </c>
      <c r="E759" t="s">
        <v>11</v>
      </c>
      <c r="F759">
        <v>3</v>
      </c>
      <c r="G759">
        <v>533</v>
      </c>
      <c r="H759">
        <v>1599</v>
      </c>
    </row>
    <row r="760" spans="1:8" x14ac:dyDescent="0.25">
      <c r="A760" t="s">
        <v>1445</v>
      </c>
      <c r="B760" s="1">
        <v>45025</v>
      </c>
      <c r="C760" t="s">
        <v>442</v>
      </c>
      <c r="D760" t="s">
        <v>20</v>
      </c>
      <c r="E760" t="s">
        <v>25</v>
      </c>
      <c r="F760">
        <v>3</v>
      </c>
      <c r="G760">
        <v>531</v>
      </c>
      <c r="H760">
        <v>1593</v>
      </c>
    </row>
    <row r="761" spans="1:8" x14ac:dyDescent="0.25">
      <c r="A761" t="s">
        <v>1447</v>
      </c>
      <c r="B761" s="1">
        <v>44962</v>
      </c>
      <c r="C761" t="s">
        <v>246</v>
      </c>
      <c r="D761" t="s">
        <v>20</v>
      </c>
      <c r="E761" t="s">
        <v>32</v>
      </c>
      <c r="F761">
        <v>2</v>
      </c>
      <c r="G761">
        <v>796</v>
      </c>
      <c r="H761">
        <v>1592</v>
      </c>
    </row>
    <row r="762" spans="1:8" x14ac:dyDescent="0.25">
      <c r="A762" t="s">
        <v>1650</v>
      </c>
      <c r="B762" s="1">
        <v>45429</v>
      </c>
      <c r="C762" t="s">
        <v>468</v>
      </c>
      <c r="D762" t="s">
        <v>10</v>
      </c>
      <c r="E762" t="s">
        <v>32</v>
      </c>
      <c r="F762">
        <v>3</v>
      </c>
      <c r="G762">
        <v>530</v>
      </c>
      <c r="H762">
        <v>1590</v>
      </c>
    </row>
    <row r="763" spans="1:8" x14ac:dyDescent="0.25">
      <c r="A763" t="s">
        <v>1009</v>
      </c>
      <c r="B763" s="1">
        <v>45406</v>
      </c>
      <c r="C763" t="s">
        <v>148</v>
      </c>
      <c r="D763" t="s">
        <v>20</v>
      </c>
      <c r="E763" t="s">
        <v>11</v>
      </c>
      <c r="F763">
        <v>3</v>
      </c>
      <c r="G763">
        <v>528</v>
      </c>
      <c r="H763">
        <v>1584</v>
      </c>
    </row>
    <row r="764" spans="1:8" x14ac:dyDescent="0.25">
      <c r="A764" t="s">
        <v>1598</v>
      </c>
      <c r="B764" s="1">
        <v>45532</v>
      </c>
      <c r="C764" t="s">
        <v>146</v>
      </c>
      <c r="D764" t="s">
        <v>27</v>
      </c>
      <c r="E764" t="s">
        <v>25</v>
      </c>
      <c r="F764">
        <v>3</v>
      </c>
      <c r="G764">
        <v>528</v>
      </c>
      <c r="H764">
        <v>1584</v>
      </c>
    </row>
    <row r="765" spans="1:8" x14ac:dyDescent="0.25">
      <c r="A765" t="s">
        <v>1641</v>
      </c>
      <c r="B765" s="1">
        <v>45573</v>
      </c>
      <c r="C765" t="s">
        <v>1637</v>
      </c>
      <c r="D765" t="s">
        <v>27</v>
      </c>
      <c r="E765" t="s">
        <v>25</v>
      </c>
      <c r="F765">
        <v>4</v>
      </c>
      <c r="G765">
        <v>396</v>
      </c>
      <c r="H765">
        <v>1584</v>
      </c>
    </row>
    <row r="766" spans="1:8" x14ac:dyDescent="0.25">
      <c r="A766" t="s">
        <v>1239</v>
      </c>
      <c r="B766" s="1">
        <v>45038</v>
      </c>
      <c r="C766" t="s">
        <v>618</v>
      </c>
      <c r="D766" t="s">
        <v>10</v>
      </c>
      <c r="E766" t="s">
        <v>32</v>
      </c>
      <c r="F766">
        <v>2</v>
      </c>
      <c r="G766">
        <v>790</v>
      </c>
      <c r="H766">
        <v>1580</v>
      </c>
    </row>
    <row r="767" spans="1:8" x14ac:dyDescent="0.25">
      <c r="A767" t="s">
        <v>60</v>
      </c>
      <c r="B767" s="1">
        <v>45450</v>
      </c>
      <c r="C767" t="s">
        <v>61</v>
      </c>
      <c r="D767" t="s">
        <v>20</v>
      </c>
      <c r="E767" t="s">
        <v>14</v>
      </c>
      <c r="F767">
        <v>5</v>
      </c>
      <c r="G767">
        <v>315</v>
      </c>
      <c r="H767">
        <v>1575</v>
      </c>
    </row>
    <row r="768" spans="1:8" x14ac:dyDescent="0.25">
      <c r="A768" t="s">
        <v>291</v>
      </c>
      <c r="B768" s="1">
        <v>45528</v>
      </c>
      <c r="C768" t="s">
        <v>292</v>
      </c>
      <c r="D768" t="s">
        <v>17</v>
      </c>
      <c r="E768" t="s">
        <v>35</v>
      </c>
      <c r="F768">
        <v>3</v>
      </c>
      <c r="G768">
        <v>525</v>
      </c>
      <c r="H768">
        <v>1575</v>
      </c>
    </row>
    <row r="769" spans="1:8" x14ac:dyDescent="0.25">
      <c r="A769" t="s">
        <v>707</v>
      </c>
      <c r="B769" s="1">
        <v>45183</v>
      </c>
      <c r="C769" t="s">
        <v>43</v>
      </c>
      <c r="D769" t="s">
        <v>27</v>
      </c>
      <c r="E769" t="s">
        <v>32</v>
      </c>
      <c r="F769">
        <v>3</v>
      </c>
      <c r="G769">
        <v>525</v>
      </c>
      <c r="H769">
        <v>1575</v>
      </c>
    </row>
    <row r="770" spans="1:8" x14ac:dyDescent="0.25">
      <c r="A770" t="s">
        <v>989</v>
      </c>
      <c r="B770" s="1">
        <v>45304</v>
      </c>
      <c r="C770" t="s">
        <v>34</v>
      </c>
      <c r="D770" t="s">
        <v>17</v>
      </c>
      <c r="E770" t="s">
        <v>35</v>
      </c>
      <c r="F770">
        <v>5</v>
      </c>
      <c r="G770">
        <v>315</v>
      </c>
      <c r="H770">
        <v>1575</v>
      </c>
    </row>
    <row r="771" spans="1:8" x14ac:dyDescent="0.25">
      <c r="A771" t="s">
        <v>1668</v>
      </c>
      <c r="B771" s="1">
        <v>45341</v>
      </c>
      <c r="C771" t="s">
        <v>206</v>
      </c>
      <c r="D771" t="s">
        <v>20</v>
      </c>
      <c r="E771" t="s">
        <v>25</v>
      </c>
      <c r="F771">
        <v>4</v>
      </c>
      <c r="G771">
        <v>393</v>
      </c>
      <c r="H771">
        <v>1572</v>
      </c>
    </row>
    <row r="772" spans="1:8" x14ac:dyDescent="0.25">
      <c r="A772" t="s">
        <v>184</v>
      </c>
      <c r="B772" s="1">
        <v>45370</v>
      </c>
      <c r="C772" t="s">
        <v>185</v>
      </c>
      <c r="D772" t="s">
        <v>17</v>
      </c>
      <c r="E772" t="s">
        <v>32</v>
      </c>
      <c r="F772">
        <v>5</v>
      </c>
      <c r="G772">
        <v>314</v>
      </c>
      <c r="H772">
        <v>1570</v>
      </c>
    </row>
    <row r="773" spans="1:8" x14ac:dyDescent="0.25">
      <c r="A773" t="s">
        <v>1116</v>
      </c>
      <c r="B773" s="1">
        <v>45092</v>
      </c>
      <c r="C773" t="s">
        <v>685</v>
      </c>
      <c r="D773" t="s">
        <v>20</v>
      </c>
      <c r="E773" t="s">
        <v>25</v>
      </c>
      <c r="F773">
        <v>2</v>
      </c>
      <c r="G773">
        <v>783</v>
      </c>
      <c r="H773">
        <v>1566</v>
      </c>
    </row>
    <row r="774" spans="1:8" x14ac:dyDescent="0.25">
      <c r="A774" t="s">
        <v>1612</v>
      </c>
      <c r="B774" s="1">
        <v>45254</v>
      </c>
      <c r="C774" t="s">
        <v>113</v>
      </c>
      <c r="D774" t="s">
        <v>17</v>
      </c>
      <c r="E774" t="s">
        <v>35</v>
      </c>
      <c r="F774">
        <v>4</v>
      </c>
      <c r="G774">
        <v>391</v>
      </c>
      <c r="H774">
        <v>1564</v>
      </c>
    </row>
    <row r="775" spans="1:8" x14ac:dyDescent="0.25">
      <c r="A775" t="s">
        <v>1617</v>
      </c>
      <c r="B775" s="1">
        <v>45497</v>
      </c>
      <c r="C775" t="s">
        <v>605</v>
      </c>
      <c r="D775" t="s">
        <v>17</v>
      </c>
      <c r="E775" t="s">
        <v>14</v>
      </c>
      <c r="F775">
        <v>3</v>
      </c>
      <c r="G775">
        <v>521</v>
      </c>
      <c r="H775">
        <v>1563</v>
      </c>
    </row>
    <row r="776" spans="1:8" x14ac:dyDescent="0.25">
      <c r="A776" t="s">
        <v>85</v>
      </c>
      <c r="B776" s="1">
        <v>45298</v>
      </c>
      <c r="C776" t="s">
        <v>86</v>
      </c>
      <c r="D776" t="s">
        <v>17</v>
      </c>
      <c r="E776" t="s">
        <v>32</v>
      </c>
      <c r="F776">
        <v>4</v>
      </c>
      <c r="G776">
        <v>390</v>
      </c>
      <c r="H776">
        <v>1560</v>
      </c>
    </row>
    <row r="777" spans="1:8" x14ac:dyDescent="0.25">
      <c r="A777" t="s">
        <v>895</v>
      </c>
      <c r="B777" s="1">
        <v>45423</v>
      </c>
      <c r="C777" t="s">
        <v>367</v>
      </c>
      <c r="D777" t="s">
        <v>20</v>
      </c>
      <c r="E777" t="s">
        <v>35</v>
      </c>
      <c r="F777">
        <v>5</v>
      </c>
      <c r="G777">
        <v>312</v>
      </c>
      <c r="H777">
        <v>1560</v>
      </c>
    </row>
    <row r="778" spans="1:8" x14ac:dyDescent="0.25">
      <c r="A778" t="s">
        <v>118</v>
      </c>
      <c r="B778" s="1">
        <v>45062</v>
      </c>
      <c r="C778" t="s">
        <v>119</v>
      </c>
      <c r="D778" t="s">
        <v>20</v>
      </c>
      <c r="E778" t="s">
        <v>32</v>
      </c>
      <c r="F778">
        <v>2</v>
      </c>
      <c r="G778">
        <v>777</v>
      </c>
      <c r="H778">
        <v>1554</v>
      </c>
    </row>
    <row r="779" spans="1:8" x14ac:dyDescent="0.25">
      <c r="A779" t="s">
        <v>131</v>
      </c>
      <c r="B779" s="1">
        <v>45494</v>
      </c>
      <c r="C779" t="s">
        <v>132</v>
      </c>
      <c r="D779" t="s">
        <v>17</v>
      </c>
      <c r="E779" t="s">
        <v>35</v>
      </c>
      <c r="F779">
        <v>5</v>
      </c>
      <c r="G779">
        <v>310</v>
      </c>
      <c r="H779">
        <v>1550</v>
      </c>
    </row>
    <row r="780" spans="1:8" x14ac:dyDescent="0.25">
      <c r="A780" t="s">
        <v>1034</v>
      </c>
      <c r="B780" s="1">
        <v>45158</v>
      </c>
      <c r="C780" t="s">
        <v>675</v>
      </c>
      <c r="D780" t="s">
        <v>27</v>
      </c>
      <c r="E780" t="s">
        <v>11</v>
      </c>
      <c r="F780">
        <v>3</v>
      </c>
      <c r="G780">
        <v>516</v>
      </c>
      <c r="H780">
        <v>1548</v>
      </c>
    </row>
    <row r="781" spans="1:8" x14ac:dyDescent="0.25">
      <c r="A781" t="s">
        <v>1414</v>
      </c>
      <c r="B781" s="1">
        <v>45333</v>
      </c>
      <c r="C781" t="s">
        <v>248</v>
      </c>
      <c r="D781" t="s">
        <v>10</v>
      </c>
      <c r="E781" t="s">
        <v>25</v>
      </c>
      <c r="F781">
        <v>2</v>
      </c>
      <c r="G781">
        <v>773</v>
      </c>
      <c r="H781">
        <v>1546</v>
      </c>
    </row>
    <row r="782" spans="1:8" x14ac:dyDescent="0.25">
      <c r="A782" t="s">
        <v>513</v>
      </c>
      <c r="B782" s="1">
        <v>45615</v>
      </c>
      <c r="C782" t="s">
        <v>263</v>
      </c>
      <c r="D782" t="s">
        <v>20</v>
      </c>
      <c r="E782" t="s">
        <v>32</v>
      </c>
      <c r="F782">
        <v>5</v>
      </c>
      <c r="G782">
        <v>309</v>
      </c>
      <c r="H782">
        <v>1545</v>
      </c>
    </row>
    <row r="783" spans="1:8" x14ac:dyDescent="0.25">
      <c r="A783" t="s">
        <v>1227</v>
      </c>
      <c r="B783" s="1">
        <v>45605</v>
      </c>
      <c r="C783" t="s">
        <v>71</v>
      </c>
      <c r="D783" t="s">
        <v>17</v>
      </c>
      <c r="E783" t="s">
        <v>11</v>
      </c>
      <c r="F783">
        <v>2</v>
      </c>
      <c r="G783">
        <v>770</v>
      </c>
      <c r="H783">
        <v>1540</v>
      </c>
    </row>
    <row r="784" spans="1:8" x14ac:dyDescent="0.25">
      <c r="A784" t="s">
        <v>28</v>
      </c>
      <c r="B784" s="1">
        <v>45584</v>
      </c>
      <c r="C784" t="s">
        <v>29</v>
      </c>
      <c r="D784" t="s">
        <v>27</v>
      </c>
      <c r="E784" t="s">
        <v>14</v>
      </c>
      <c r="F784">
        <v>3</v>
      </c>
      <c r="G784">
        <v>512</v>
      </c>
      <c r="H784">
        <v>1536</v>
      </c>
    </row>
    <row r="785" spans="1:8" x14ac:dyDescent="0.25">
      <c r="A785" t="s">
        <v>1054</v>
      </c>
      <c r="B785" s="1">
        <v>45135</v>
      </c>
      <c r="C785" t="s">
        <v>109</v>
      </c>
      <c r="D785" t="s">
        <v>17</v>
      </c>
      <c r="E785" t="s">
        <v>35</v>
      </c>
      <c r="F785">
        <v>4</v>
      </c>
      <c r="G785">
        <v>384</v>
      </c>
      <c r="H785">
        <v>1536</v>
      </c>
    </row>
    <row r="786" spans="1:8" x14ac:dyDescent="0.25">
      <c r="A786" t="s">
        <v>120</v>
      </c>
      <c r="B786" s="1">
        <v>45291</v>
      </c>
      <c r="C786" t="s">
        <v>121</v>
      </c>
      <c r="D786" t="s">
        <v>17</v>
      </c>
      <c r="E786" t="s">
        <v>11</v>
      </c>
      <c r="F786">
        <v>5</v>
      </c>
      <c r="G786">
        <v>306</v>
      </c>
      <c r="H786">
        <v>1530</v>
      </c>
    </row>
    <row r="787" spans="1:8" x14ac:dyDescent="0.25">
      <c r="A787" t="s">
        <v>1043</v>
      </c>
      <c r="B787" s="1">
        <v>45553</v>
      </c>
      <c r="C787" t="s">
        <v>551</v>
      </c>
      <c r="D787" t="s">
        <v>10</v>
      </c>
      <c r="E787" t="s">
        <v>32</v>
      </c>
      <c r="F787">
        <v>3</v>
      </c>
      <c r="G787">
        <v>508</v>
      </c>
      <c r="H787">
        <v>1524</v>
      </c>
    </row>
    <row r="788" spans="1:8" x14ac:dyDescent="0.25">
      <c r="A788" t="s">
        <v>1435</v>
      </c>
      <c r="B788" s="1">
        <v>45174</v>
      </c>
      <c r="C788" t="s">
        <v>111</v>
      </c>
      <c r="D788" t="s">
        <v>10</v>
      </c>
      <c r="E788" t="s">
        <v>32</v>
      </c>
      <c r="F788">
        <v>3</v>
      </c>
      <c r="G788">
        <v>508</v>
      </c>
      <c r="H788">
        <v>1524</v>
      </c>
    </row>
    <row r="789" spans="1:8" x14ac:dyDescent="0.25">
      <c r="A789" t="s">
        <v>640</v>
      </c>
      <c r="B789" s="1">
        <v>45357</v>
      </c>
      <c r="C789" t="s">
        <v>187</v>
      </c>
      <c r="D789" t="s">
        <v>10</v>
      </c>
      <c r="E789" t="s">
        <v>14</v>
      </c>
      <c r="F789">
        <v>4</v>
      </c>
      <c r="G789">
        <v>380</v>
      </c>
      <c r="H789">
        <v>1520</v>
      </c>
    </row>
    <row r="790" spans="1:8" x14ac:dyDescent="0.25">
      <c r="A790" t="s">
        <v>770</v>
      </c>
      <c r="B790" s="1">
        <v>45532</v>
      </c>
      <c r="C790" t="s">
        <v>338</v>
      </c>
      <c r="D790" t="s">
        <v>20</v>
      </c>
      <c r="E790" t="s">
        <v>11</v>
      </c>
      <c r="F790">
        <v>5</v>
      </c>
      <c r="G790">
        <v>302</v>
      </c>
      <c r="H790">
        <v>1510</v>
      </c>
    </row>
    <row r="791" spans="1:8" x14ac:dyDescent="0.25">
      <c r="A791" t="s">
        <v>1686</v>
      </c>
      <c r="B791" s="1">
        <v>45486</v>
      </c>
      <c r="C791" t="s">
        <v>690</v>
      </c>
      <c r="D791" t="s">
        <v>20</v>
      </c>
      <c r="E791" t="s">
        <v>25</v>
      </c>
      <c r="F791">
        <v>4</v>
      </c>
      <c r="G791">
        <v>377</v>
      </c>
      <c r="H791">
        <v>1508</v>
      </c>
    </row>
    <row r="792" spans="1:8" x14ac:dyDescent="0.25">
      <c r="A792" t="s">
        <v>496</v>
      </c>
      <c r="B792" s="1">
        <v>45540</v>
      </c>
      <c r="C792" t="s">
        <v>86</v>
      </c>
      <c r="D792" t="s">
        <v>27</v>
      </c>
      <c r="E792" t="s">
        <v>35</v>
      </c>
      <c r="F792">
        <v>4</v>
      </c>
      <c r="G792">
        <v>376</v>
      </c>
      <c r="H792">
        <v>1504</v>
      </c>
    </row>
    <row r="793" spans="1:8" x14ac:dyDescent="0.25">
      <c r="A793" t="s">
        <v>914</v>
      </c>
      <c r="B793" s="1">
        <v>45366</v>
      </c>
      <c r="C793" t="s">
        <v>278</v>
      </c>
      <c r="D793" t="s">
        <v>17</v>
      </c>
      <c r="E793" t="s">
        <v>11</v>
      </c>
      <c r="F793">
        <v>3</v>
      </c>
      <c r="G793">
        <v>500</v>
      </c>
      <c r="H793">
        <v>1500</v>
      </c>
    </row>
    <row r="794" spans="1:8" x14ac:dyDescent="0.25">
      <c r="A794" t="s">
        <v>539</v>
      </c>
      <c r="B794" s="1">
        <v>45224</v>
      </c>
      <c r="C794" t="s">
        <v>173</v>
      </c>
      <c r="D794" t="s">
        <v>27</v>
      </c>
      <c r="E794" t="s">
        <v>14</v>
      </c>
      <c r="F794">
        <v>3</v>
      </c>
      <c r="G794">
        <v>498</v>
      </c>
      <c r="H794">
        <v>1494</v>
      </c>
    </row>
    <row r="795" spans="1:8" x14ac:dyDescent="0.25">
      <c r="A795" t="s">
        <v>773</v>
      </c>
      <c r="B795" s="1">
        <v>45264</v>
      </c>
      <c r="C795" t="s">
        <v>261</v>
      </c>
      <c r="D795" t="s">
        <v>10</v>
      </c>
      <c r="E795" t="s">
        <v>25</v>
      </c>
      <c r="F795">
        <v>3</v>
      </c>
      <c r="G795">
        <v>497</v>
      </c>
      <c r="H795">
        <v>1491</v>
      </c>
    </row>
    <row r="796" spans="1:8" x14ac:dyDescent="0.25">
      <c r="A796" t="s">
        <v>1252</v>
      </c>
      <c r="B796" s="1">
        <v>45569</v>
      </c>
      <c r="C796" t="s">
        <v>278</v>
      </c>
      <c r="D796" t="s">
        <v>27</v>
      </c>
      <c r="E796" t="s">
        <v>14</v>
      </c>
      <c r="F796">
        <v>3</v>
      </c>
      <c r="G796">
        <v>496</v>
      </c>
      <c r="H796">
        <v>1488</v>
      </c>
    </row>
    <row r="797" spans="1:8" x14ac:dyDescent="0.25">
      <c r="A797" t="s">
        <v>849</v>
      </c>
      <c r="B797" s="1">
        <v>45265</v>
      </c>
      <c r="C797" t="s">
        <v>71</v>
      </c>
      <c r="D797" t="s">
        <v>10</v>
      </c>
      <c r="E797" t="s">
        <v>11</v>
      </c>
      <c r="F797">
        <v>5</v>
      </c>
      <c r="G797">
        <v>297</v>
      </c>
      <c r="H797">
        <v>1485</v>
      </c>
    </row>
    <row r="798" spans="1:8" x14ac:dyDescent="0.25">
      <c r="A798" t="s">
        <v>1014</v>
      </c>
      <c r="B798" s="1">
        <v>45266</v>
      </c>
      <c r="C798" t="s">
        <v>761</v>
      </c>
      <c r="D798" t="s">
        <v>27</v>
      </c>
      <c r="E798" t="s">
        <v>35</v>
      </c>
      <c r="F798">
        <v>3</v>
      </c>
      <c r="G798">
        <v>494</v>
      </c>
      <c r="H798">
        <v>1482</v>
      </c>
    </row>
    <row r="799" spans="1:8" x14ac:dyDescent="0.25">
      <c r="A799" t="s">
        <v>1218</v>
      </c>
      <c r="B799" s="1">
        <v>45165</v>
      </c>
      <c r="C799" t="s">
        <v>100</v>
      </c>
      <c r="D799" t="s">
        <v>10</v>
      </c>
      <c r="E799" t="s">
        <v>32</v>
      </c>
      <c r="F799">
        <v>4</v>
      </c>
      <c r="G799">
        <v>369</v>
      </c>
      <c r="H799">
        <v>1476</v>
      </c>
    </row>
    <row r="800" spans="1:8" x14ac:dyDescent="0.25">
      <c r="A800" t="s">
        <v>1548</v>
      </c>
      <c r="B800" s="1">
        <v>45591</v>
      </c>
      <c r="C800" t="s">
        <v>452</v>
      </c>
      <c r="D800" t="s">
        <v>27</v>
      </c>
      <c r="E800" t="s">
        <v>35</v>
      </c>
      <c r="F800">
        <v>5</v>
      </c>
      <c r="G800">
        <v>295</v>
      </c>
      <c r="H800">
        <v>1475</v>
      </c>
    </row>
    <row r="801" spans="1:8" x14ac:dyDescent="0.25">
      <c r="A801" t="s">
        <v>1442</v>
      </c>
      <c r="B801" s="1">
        <v>45273</v>
      </c>
      <c r="C801" t="s">
        <v>343</v>
      </c>
      <c r="D801" t="s">
        <v>10</v>
      </c>
      <c r="E801" t="s">
        <v>35</v>
      </c>
      <c r="F801">
        <v>4</v>
      </c>
      <c r="G801">
        <v>368</v>
      </c>
      <c r="H801">
        <v>1472</v>
      </c>
    </row>
    <row r="802" spans="1:8" x14ac:dyDescent="0.25">
      <c r="A802" t="s">
        <v>1674</v>
      </c>
      <c r="B802" s="1">
        <v>45200</v>
      </c>
      <c r="C802" t="s">
        <v>1144</v>
      </c>
      <c r="D802" t="s">
        <v>20</v>
      </c>
      <c r="E802" t="s">
        <v>35</v>
      </c>
      <c r="F802">
        <v>2</v>
      </c>
      <c r="G802">
        <v>734</v>
      </c>
      <c r="H802">
        <v>1468</v>
      </c>
    </row>
    <row r="803" spans="1:8" x14ac:dyDescent="0.25">
      <c r="A803" t="s">
        <v>178</v>
      </c>
      <c r="B803" s="1">
        <v>45212</v>
      </c>
      <c r="C803" t="s">
        <v>179</v>
      </c>
      <c r="D803" t="s">
        <v>10</v>
      </c>
      <c r="E803" t="s">
        <v>32</v>
      </c>
      <c r="F803">
        <v>4</v>
      </c>
      <c r="G803">
        <v>366</v>
      </c>
      <c r="H803">
        <v>1464</v>
      </c>
    </row>
    <row r="804" spans="1:8" x14ac:dyDescent="0.25">
      <c r="A804" t="s">
        <v>1020</v>
      </c>
      <c r="B804" s="1">
        <v>45575</v>
      </c>
      <c r="C804" t="s">
        <v>644</v>
      </c>
      <c r="D804" t="s">
        <v>27</v>
      </c>
      <c r="E804" t="s">
        <v>32</v>
      </c>
      <c r="F804">
        <v>2</v>
      </c>
      <c r="G804">
        <v>728</v>
      </c>
      <c r="H804">
        <v>1456</v>
      </c>
    </row>
    <row r="805" spans="1:8" x14ac:dyDescent="0.25">
      <c r="A805" t="s">
        <v>1728</v>
      </c>
      <c r="B805" s="1">
        <v>45024</v>
      </c>
      <c r="C805" t="s">
        <v>1265</v>
      </c>
      <c r="D805" t="s">
        <v>10</v>
      </c>
      <c r="E805" t="s">
        <v>11</v>
      </c>
      <c r="F805">
        <v>4</v>
      </c>
      <c r="G805">
        <v>364</v>
      </c>
      <c r="H805">
        <v>1456</v>
      </c>
    </row>
    <row r="806" spans="1:8" x14ac:dyDescent="0.25">
      <c r="A806" t="s">
        <v>528</v>
      </c>
      <c r="B806" s="1">
        <v>45470</v>
      </c>
      <c r="C806" t="s">
        <v>529</v>
      </c>
      <c r="D806" t="s">
        <v>27</v>
      </c>
      <c r="E806" t="s">
        <v>14</v>
      </c>
      <c r="F806">
        <v>2</v>
      </c>
      <c r="G806">
        <v>727</v>
      </c>
      <c r="H806">
        <v>1454</v>
      </c>
    </row>
    <row r="807" spans="1:8" x14ac:dyDescent="0.25">
      <c r="A807" t="s">
        <v>966</v>
      </c>
      <c r="B807" s="1">
        <v>44997</v>
      </c>
      <c r="C807" t="s">
        <v>201</v>
      </c>
      <c r="D807" t="s">
        <v>10</v>
      </c>
      <c r="E807" t="s">
        <v>11</v>
      </c>
      <c r="F807">
        <v>2</v>
      </c>
      <c r="G807">
        <v>727</v>
      </c>
      <c r="H807">
        <v>1454</v>
      </c>
    </row>
    <row r="808" spans="1:8" x14ac:dyDescent="0.25">
      <c r="A808" t="s">
        <v>1303</v>
      </c>
      <c r="B808" s="1">
        <v>45052</v>
      </c>
      <c r="C808" t="s">
        <v>336</v>
      </c>
      <c r="D808" t="s">
        <v>10</v>
      </c>
      <c r="E808" t="s">
        <v>14</v>
      </c>
      <c r="F808">
        <v>4</v>
      </c>
      <c r="G808">
        <v>363</v>
      </c>
      <c r="H808">
        <v>1452</v>
      </c>
    </row>
    <row r="809" spans="1:8" x14ac:dyDescent="0.25">
      <c r="A809" t="s">
        <v>1567</v>
      </c>
      <c r="B809" s="1">
        <v>45287</v>
      </c>
      <c r="C809" t="s">
        <v>177</v>
      </c>
      <c r="D809" t="s">
        <v>17</v>
      </c>
      <c r="E809" t="s">
        <v>32</v>
      </c>
      <c r="F809">
        <v>2</v>
      </c>
      <c r="G809">
        <v>726</v>
      </c>
      <c r="H809">
        <v>1452</v>
      </c>
    </row>
    <row r="810" spans="1:8" x14ac:dyDescent="0.25">
      <c r="A810" t="s">
        <v>38</v>
      </c>
      <c r="B810" s="1">
        <v>45068</v>
      </c>
      <c r="C810" t="s">
        <v>39</v>
      </c>
      <c r="D810" t="s">
        <v>10</v>
      </c>
      <c r="E810" t="s">
        <v>35</v>
      </c>
      <c r="F810">
        <v>4</v>
      </c>
      <c r="G810">
        <v>361</v>
      </c>
      <c r="H810">
        <v>1444</v>
      </c>
    </row>
    <row r="811" spans="1:8" x14ac:dyDescent="0.25">
      <c r="A811" t="s">
        <v>1718</v>
      </c>
      <c r="B811" s="1">
        <v>44972</v>
      </c>
      <c r="C811" t="s">
        <v>254</v>
      </c>
      <c r="D811" t="s">
        <v>10</v>
      </c>
      <c r="E811" t="s">
        <v>11</v>
      </c>
      <c r="F811">
        <v>2</v>
      </c>
      <c r="G811">
        <v>722</v>
      </c>
      <c r="H811">
        <v>1444</v>
      </c>
    </row>
    <row r="812" spans="1:8" x14ac:dyDescent="0.25">
      <c r="A812" t="s">
        <v>1136</v>
      </c>
      <c r="B812" s="1">
        <v>45411</v>
      </c>
      <c r="C812" t="s">
        <v>128</v>
      </c>
      <c r="D812" t="s">
        <v>10</v>
      </c>
      <c r="E812" t="s">
        <v>14</v>
      </c>
      <c r="F812">
        <v>3</v>
      </c>
      <c r="G812">
        <v>481</v>
      </c>
      <c r="H812">
        <v>1443</v>
      </c>
    </row>
    <row r="813" spans="1:8" x14ac:dyDescent="0.25">
      <c r="A813" t="s">
        <v>1803</v>
      </c>
      <c r="B813" s="1">
        <v>45491</v>
      </c>
      <c r="C813" t="s">
        <v>429</v>
      </c>
      <c r="D813" t="s">
        <v>27</v>
      </c>
      <c r="E813" t="s">
        <v>32</v>
      </c>
      <c r="F813">
        <v>2</v>
      </c>
      <c r="G813">
        <v>721</v>
      </c>
      <c r="H813">
        <v>1442</v>
      </c>
    </row>
    <row r="814" spans="1:8" x14ac:dyDescent="0.25">
      <c r="A814" t="s">
        <v>1076</v>
      </c>
      <c r="B814" s="1">
        <v>45025</v>
      </c>
      <c r="C814" t="s">
        <v>737</v>
      </c>
      <c r="D814" t="s">
        <v>10</v>
      </c>
      <c r="E814" t="s">
        <v>25</v>
      </c>
      <c r="F814">
        <v>5</v>
      </c>
      <c r="G814">
        <v>288</v>
      </c>
      <c r="H814">
        <v>1440</v>
      </c>
    </row>
    <row r="815" spans="1:8" x14ac:dyDescent="0.25">
      <c r="A815" t="s">
        <v>1187</v>
      </c>
      <c r="B815" s="1">
        <v>45136</v>
      </c>
      <c r="C815" t="s">
        <v>134</v>
      </c>
      <c r="D815" t="s">
        <v>20</v>
      </c>
      <c r="E815" t="s">
        <v>14</v>
      </c>
      <c r="F815">
        <v>2</v>
      </c>
      <c r="G815">
        <v>718</v>
      </c>
      <c r="H815">
        <v>1436</v>
      </c>
    </row>
    <row r="816" spans="1:8" x14ac:dyDescent="0.25">
      <c r="A816" t="s">
        <v>182</v>
      </c>
      <c r="B816" s="1">
        <v>45014</v>
      </c>
      <c r="C816" t="s">
        <v>183</v>
      </c>
      <c r="D816" t="s">
        <v>10</v>
      </c>
      <c r="E816" t="s">
        <v>14</v>
      </c>
      <c r="F816">
        <v>2</v>
      </c>
      <c r="G816">
        <v>717</v>
      </c>
      <c r="H816">
        <v>1434</v>
      </c>
    </row>
    <row r="817" spans="1:8" x14ac:dyDescent="0.25">
      <c r="A817" t="s">
        <v>1796</v>
      </c>
      <c r="B817" s="1">
        <v>45329</v>
      </c>
      <c r="C817" t="s">
        <v>338</v>
      </c>
      <c r="D817" t="s">
        <v>20</v>
      </c>
      <c r="E817" t="s">
        <v>32</v>
      </c>
      <c r="F817">
        <v>2</v>
      </c>
      <c r="G817">
        <v>717</v>
      </c>
      <c r="H817">
        <v>1434</v>
      </c>
    </row>
    <row r="818" spans="1:8" x14ac:dyDescent="0.25">
      <c r="A818" t="s">
        <v>1228</v>
      </c>
      <c r="B818" s="1">
        <v>45488</v>
      </c>
      <c r="C818" t="s">
        <v>189</v>
      </c>
      <c r="D818" t="s">
        <v>10</v>
      </c>
      <c r="E818" t="s">
        <v>11</v>
      </c>
      <c r="F818">
        <v>2</v>
      </c>
      <c r="G818">
        <v>716</v>
      </c>
      <c r="H818">
        <v>1432</v>
      </c>
    </row>
    <row r="819" spans="1:8" x14ac:dyDescent="0.25">
      <c r="A819" t="s">
        <v>1419</v>
      </c>
      <c r="B819" s="1">
        <v>45090</v>
      </c>
      <c r="C819" t="s">
        <v>302</v>
      </c>
      <c r="D819" t="s">
        <v>10</v>
      </c>
      <c r="E819" t="s">
        <v>32</v>
      </c>
      <c r="F819">
        <v>2</v>
      </c>
      <c r="G819">
        <v>716</v>
      </c>
      <c r="H819">
        <v>1432</v>
      </c>
    </row>
    <row r="820" spans="1:8" x14ac:dyDescent="0.25">
      <c r="A820" t="s">
        <v>1696</v>
      </c>
      <c r="B820" s="1">
        <v>45217</v>
      </c>
      <c r="C820" t="s">
        <v>119</v>
      </c>
      <c r="D820" t="s">
        <v>17</v>
      </c>
      <c r="E820" t="s">
        <v>25</v>
      </c>
      <c r="F820">
        <v>5</v>
      </c>
      <c r="G820">
        <v>286</v>
      </c>
      <c r="H820">
        <v>1430</v>
      </c>
    </row>
    <row r="821" spans="1:8" x14ac:dyDescent="0.25">
      <c r="A821" t="s">
        <v>1615</v>
      </c>
      <c r="B821" s="1">
        <v>45097</v>
      </c>
      <c r="C821" t="s">
        <v>45</v>
      </c>
      <c r="D821" t="s">
        <v>10</v>
      </c>
      <c r="E821" t="s">
        <v>25</v>
      </c>
      <c r="F821">
        <v>2</v>
      </c>
      <c r="G821">
        <v>714</v>
      </c>
      <c r="H821">
        <v>1428</v>
      </c>
    </row>
    <row r="822" spans="1:8" x14ac:dyDescent="0.25">
      <c r="A822" t="s">
        <v>1421</v>
      </c>
      <c r="B822" s="1">
        <v>45303</v>
      </c>
      <c r="C822" t="s">
        <v>642</v>
      </c>
      <c r="D822" t="s">
        <v>17</v>
      </c>
      <c r="E822" t="s">
        <v>25</v>
      </c>
      <c r="F822">
        <v>3</v>
      </c>
      <c r="G822">
        <v>473</v>
      </c>
      <c r="H822">
        <v>1419</v>
      </c>
    </row>
    <row r="823" spans="1:8" x14ac:dyDescent="0.25">
      <c r="A823" t="s">
        <v>99</v>
      </c>
      <c r="B823" s="1">
        <v>45249</v>
      </c>
      <c r="C823" t="s">
        <v>100</v>
      </c>
      <c r="D823" t="s">
        <v>17</v>
      </c>
      <c r="E823" t="s">
        <v>14</v>
      </c>
      <c r="F823">
        <v>2</v>
      </c>
      <c r="G823">
        <v>709</v>
      </c>
      <c r="H823">
        <v>1418</v>
      </c>
    </row>
    <row r="824" spans="1:8" x14ac:dyDescent="0.25">
      <c r="A824" t="s">
        <v>390</v>
      </c>
      <c r="B824" s="1">
        <v>44970</v>
      </c>
      <c r="C824" t="s">
        <v>226</v>
      </c>
      <c r="D824" t="s">
        <v>27</v>
      </c>
      <c r="E824" t="s">
        <v>14</v>
      </c>
      <c r="F824">
        <v>5</v>
      </c>
      <c r="G824">
        <v>283</v>
      </c>
      <c r="H824">
        <v>1415</v>
      </c>
    </row>
    <row r="825" spans="1:8" x14ac:dyDescent="0.25">
      <c r="A825" t="s">
        <v>641</v>
      </c>
      <c r="B825" s="1">
        <v>45499</v>
      </c>
      <c r="C825" t="s">
        <v>642</v>
      </c>
      <c r="D825" t="s">
        <v>10</v>
      </c>
      <c r="E825" t="s">
        <v>25</v>
      </c>
      <c r="F825">
        <v>2</v>
      </c>
      <c r="G825">
        <v>707</v>
      </c>
      <c r="H825">
        <v>1414</v>
      </c>
    </row>
    <row r="826" spans="1:8" x14ac:dyDescent="0.25">
      <c r="A826" t="s">
        <v>944</v>
      </c>
      <c r="B826" s="1">
        <v>45126</v>
      </c>
      <c r="C826" t="s">
        <v>945</v>
      </c>
      <c r="D826" t="s">
        <v>27</v>
      </c>
      <c r="E826" t="s">
        <v>11</v>
      </c>
      <c r="F826">
        <v>2</v>
      </c>
      <c r="G826">
        <v>705</v>
      </c>
      <c r="H826">
        <v>1410</v>
      </c>
    </row>
    <row r="827" spans="1:8" x14ac:dyDescent="0.25">
      <c r="A827" t="s">
        <v>610</v>
      </c>
      <c r="B827" s="1">
        <v>45608</v>
      </c>
      <c r="C827" t="s">
        <v>332</v>
      </c>
      <c r="D827" t="s">
        <v>10</v>
      </c>
      <c r="E827" t="s">
        <v>14</v>
      </c>
      <c r="F827">
        <v>2</v>
      </c>
      <c r="G827">
        <v>704</v>
      </c>
      <c r="H827">
        <v>1408</v>
      </c>
    </row>
    <row r="828" spans="1:8" x14ac:dyDescent="0.25">
      <c r="A828" t="s">
        <v>1193</v>
      </c>
      <c r="B828" s="1">
        <v>45573</v>
      </c>
      <c r="C828" t="s">
        <v>1096</v>
      </c>
      <c r="D828" t="s">
        <v>27</v>
      </c>
      <c r="E828" t="s">
        <v>32</v>
      </c>
      <c r="F828">
        <v>4</v>
      </c>
      <c r="G828">
        <v>351</v>
      </c>
      <c r="H828">
        <v>1404</v>
      </c>
    </row>
    <row r="829" spans="1:8" x14ac:dyDescent="0.25">
      <c r="A829" t="s">
        <v>1404</v>
      </c>
      <c r="B829" s="1">
        <v>45009</v>
      </c>
      <c r="C829" t="s">
        <v>389</v>
      </c>
      <c r="D829" t="s">
        <v>17</v>
      </c>
      <c r="E829" t="s">
        <v>35</v>
      </c>
      <c r="F829">
        <v>3</v>
      </c>
      <c r="G829">
        <v>468</v>
      </c>
      <c r="H829">
        <v>1404</v>
      </c>
    </row>
    <row r="830" spans="1:8" x14ac:dyDescent="0.25">
      <c r="A830" t="s">
        <v>1757</v>
      </c>
      <c r="B830" s="1">
        <v>45463</v>
      </c>
      <c r="C830" t="s">
        <v>183</v>
      </c>
      <c r="D830" t="s">
        <v>20</v>
      </c>
      <c r="E830" t="s">
        <v>14</v>
      </c>
      <c r="F830">
        <v>2</v>
      </c>
      <c r="G830">
        <v>702</v>
      </c>
      <c r="H830">
        <v>1404</v>
      </c>
    </row>
    <row r="831" spans="1:8" x14ac:dyDescent="0.25">
      <c r="A831" t="s">
        <v>1497</v>
      </c>
      <c r="B831" s="1">
        <v>45195</v>
      </c>
      <c r="C831" t="s">
        <v>94</v>
      </c>
      <c r="D831" t="s">
        <v>27</v>
      </c>
      <c r="E831" t="s">
        <v>35</v>
      </c>
      <c r="F831">
        <v>2</v>
      </c>
      <c r="G831">
        <v>699</v>
      </c>
      <c r="H831">
        <v>1398</v>
      </c>
    </row>
    <row r="832" spans="1:8" x14ac:dyDescent="0.25">
      <c r="A832" t="s">
        <v>1600</v>
      </c>
      <c r="B832" s="1">
        <v>45363</v>
      </c>
      <c r="C832" t="s">
        <v>671</v>
      </c>
      <c r="D832" t="s">
        <v>10</v>
      </c>
      <c r="E832" t="s">
        <v>32</v>
      </c>
      <c r="F832">
        <v>2</v>
      </c>
      <c r="G832">
        <v>698</v>
      </c>
      <c r="H832">
        <v>1396</v>
      </c>
    </row>
    <row r="833" spans="1:8" x14ac:dyDescent="0.25">
      <c r="A833" t="s">
        <v>502</v>
      </c>
      <c r="B833" s="1">
        <v>44950</v>
      </c>
      <c r="C833" t="s">
        <v>78</v>
      </c>
      <c r="D833" t="s">
        <v>20</v>
      </c>
      <c r="E833" t="s">
        <v>35</v>
      </c>
      <c r="F833">
        <v>5</v>
      </c>
      <c r="G833">
        <v>279</v>
      </c>
      <c r="H833">
        <v>1395</v>
      </c>
    </row>
    <row r="834" spans="1:8" x14ac:dyDescent="0.25">
      <c r="A834" t="s">
        <v>904</v>
      </c>
      <c r="B834" s="1">
        <v>45036</v>
      </c>
      <c r="C834" t="s">
        <v>252</v>
      </c>
      <c r="D834" t="s">
        <v>27</v>
      </c>
      <c r="E834" t="s">
        <v>11</v>
      </c>
      <c r="F834">
        <v>2</v>
      </c>
      <c r="G834">
        <v>696</v>
      </c>
      <c r="H834">
        <v>1392</v>
      </c>
    </row>
    <row r="835" spans="1:8" x14ac:dyDescent="0.25">
      <c r="A835" t="s">
        <v>1278</v>
      </c>
      <c r="B835" s="1">
        <v>45001</v>
      </c>
      <c r="C835" t="s">
        <v>156</v>
      </c>
      <c r="D835" t="s">
        <v>27</v>
      </c>
      <c r="E835" t="s">
        <v>25</v>
      </c>
      <c r="F835">
        <v>2</v>
      </c>
      <c r="G835">
        <v>696</v>
      </c>
      <c r="H835">
        <v>1392</v>
      </c>
    </row>
    <row r="836" spans="1:8" x14ac:dyDescent="0.25">
      <c r="A836" t="s">
        <v>980</v>
      </c>
      <c r="B836" s="1">
        <v>45021</v>
      </c>
      <c r="C836" t="s">
        <v>889</v>
      </c>
      <c r="D836" t="s">
        <v>10</v>
      </c>
      <c r="E836" t="s">
        <v>25</v>
      </c>
      <c r="F836">
        <v>5</v>
      </c>
      <c r="G836">
        <v>277</v>
      </c>
      <c r="H836">
        <v>1385</v>
      </c>
    </row>
    <row r="837" spans="1:8" x14ac:dyDescent="0.25">
      <c r="A837" t="s">
        <v>1022</v>
      </c>
      <c r="B837" s="1">
        <v>45431</v>
      </c>
      <c r="C837" t="s">
        <v>1023</v>
      </c>
      <c r="D837" t="s">
        <v>10</v>
      </c>
      <c r="E837" t="s">
        <v>11</v>
      </c>
      <c r="F837">
        <v>3</v>
      </c>
      <c r="G837">
        <v>461</v>
      </c>
      <c r="H837">
        <v>1383</v>
      </c>
    </row>
    <row r="838" spans="1:8" x14ac:dyDescent="0.25">
      <c r="A838" t="s">
        <v>1629</v>
      </c>
      <c r="B838" s="1">
        <v>44985</v>
      </c>
      <c r="C838" t="s">
        <v>173</v>
      </c>
      <c r="D838" t="s">
        <v>27</v>
      </c>
      <c r="E838" t="s">
        <v>25</v>
      </c>
      <c r="F838">
        <v>2</v>
      </c>
      <c r="G838">
        <v>691</v>
      </c>
      <c r="H838">
        <v>1382</v>
      </c>
    </row>
    <row r="839" spans="1:8" x14ac:dyDescent="0.25">
      <c r="A839" t="s">
        <v>1523</v>
      </c>
      <c r="B839" s="1">
        <v>44932</v>
      </c>
      <c r="C839" t="s">
        <v>113</v>
      </c>
      <c r="D839" t="s">
        <v>20</v>
      </c>
      <c r="E839" t="s">
        <v>32</v>
      </c>
      <c r="F839">
        <v>4</v>
      </c>
      <c r="G839">
        <v>343</v>
      </c>
      <c r="H839">
        <v>1372</v>
      </c>
    </row>
    <row r="840" spans="1:8" x14ac:dyDescent="0.25">
      <c r="A840" t="s">
        <v>1289</v>
      </c>
      <c r="B840" s="1">
        <v>45168</v>
      </c>
      <c r="C840" t="s">
        <v>607</v>
      </c>
      <c r="D840" t="s">
        <v>20</v>
      </c>
      <c r="E840" t="s">
        <v>35</v>
      </c>
      <c r="F840">
        <v>5</v>
      </c>
      <c r="G840">
        <v>274</v>
      </c>
      <c r="H840">
        <v>1370</v>
      </c>
    </row>
    <row r="841" spans="1:8" x14ac:dyDescent="0.25">
      <c r="A841" t="s">
        <v>1767</v>
      </c>
      <c r="B841" s="1">
        <v>44970</v>
      </c>
      <c r="C841" t="s">
        <v>647</v>
      </c>
      <c r="D841" t="s">
        <v>20</v>
      </c>
      <c r="E841" t="s">
        <v>32</v>
      </c>
      <c r="F841">
        <v>5</v>
      </c>
      <c r="G841">
        <v>273</v>
      </c>
      <c r="H841">
        <v>1365</v>
      </c>
    </row>
    <row r="842" spans="1:8" x14ac:dyDescent="0.25">
      <c r="A842" t="s">
        <v>767</v>
      </c>
      <c r="B842" s="1">
        <v>45239</v>
      </c>
      <c r="C842" t="s">
        <v>263</v>
      </c>
      <c r="D842" t="s">
        <v>20</v>
      </c>
      <c r="E842" t="s">
        <v>11</v>
      </c>
      <c r="F842">
        <v>4</v>
      </c>
      <c r="G842">
        <v>340</v>
      </c>
      <c r="H842">
        <v>1360</v>
      </c>
    </row>
    <row r="843" spans="1:8" x14ac:dyDescent="0.25">
      <c r="A843" t="s">
        <v>986</v>
      </c>
      <c r="B843" s="1">
        <v>45432</v>
      </c>
      <c r="C843" t="s">
        <v>142</v>
      </c>
      <c r="D843" t="s">
        <v>10</v>
      </c>
      <c r="E843" t="s">
        <v>35</v>
      </c>
      <c r="F843">
        <v>2</v>
      </c>
      <c r="G843">
        <v>679</v>
      </c>
      <c r="H843">
        <v>1358</v>
      </c>
    </row>
    <row r="844" spans="1:8" x14ac:dyDescent="0.25">
      <c r="A844" t="s">
        <v>1138</v>
      </c>
      <c r="B844" s="1">
        <v>45002</v>
      </c>
      <c r="C844" t="s">
        <v>29</v>
      </c>
      <c r="D844" t="s">
        <v>10</v>
      </c>
      <c r="E844" t="s">
        <v>25</v>
      </c>
      <c r="F844">
        <v>4</v>
      </c>
      <c r="G844">
        <v>339</v>
      </c>
      <c r="H844">
        <v>1356</v>
      </c>
    </row>
    <row r="845" spans="1:8" x14ac:dyDescent="0.25">
      <c r="A845" t="s">
        <v>1178</v>
      </c>
      <c r="B845" s="1">
        <v>45036</v>
      </c>
      <c r="C845" t="s">
        <v>799</v>
      </c>
      <c r="D845" t="s">
        <v>17</v>
      </c>
      <c r="E845" t="s">
        <v>32</v>
      </c>
      <c r="F845">
        <v>2</v>
      </c>
      <c r="G845">
        <v>678</v>
      </c>
      <c r="H845">
        <v>1356</v>
      </c>
    </row>
    <row r="846" spans="1:8" x14ac:dyDescent="0.25">
      <c r="A846" t="s">
        <v>1723</v>
      </c>
      <c r="B846" s="1">
        <v>45620</v>
      </c>
      <c r="C846" t="s">
        <v>13</v>
      </c>
      <c r="D846" t="s">
        <v>20</v>
      </c>
      <c r="E846" t="s">
        <v>14</v>
      </c>
      <c r="F846">
        <v>3</v>
      </c>
      <c r="G846">
        <v>452</v>
      </c>
      <c r="H846">
        <v>1356</v>
      </c>
    </row>
    <row r="847" spans="1:8" x14ac:dyDescent="0.25">
      <c r="A847" t="s">
        <v>1271</v>
      </c>
      <c r="B847" s="1">
        <v>45290</v>
      </c>
      <c r="C847" t="s">
        <v>449</v>
      </c>
      <c r="D847" t="s">
        <v>27</v>
      </c>
      <c r="E847" t="s">
        <v>32</v>
      </c>
      <c r="F847">
        <v>2</v>
      </c>
      <c r="G847">
        <v>675</v>
      </c>
      <c r="H847">
        <v>1350</v>
      </c>
    </row>
    <row r="848" spans="1:8" x14ac:dyDescent="0.25">
      <c r="A848" t="s">
        <v>1537</v>
      </c>
      <c r="B848" s="1">
        <v>45168</v>
      </c>
      <c r="C848" t="s">
        <v>446</v>
      </c>
      <c r="D848" t="s">
        <v>20</v>
      </c>
      <c r="E848" t="s">
        <v>11</v>
      </c>
      <c r="F848">
        <v>2</v>
      </c>
      <c r="G848">
        <v>674</v>
      </c>
      <c r="H848">
        <v>1348</v>
      </c>
    </row>
    <row r="849" spans="1:8" x14ac:dyDescent="0.25">
      <c r="A849" t="s">
        <v>1064</v>
      </c>
      <c r="B849" s="1">
        <v>45137</v>
      </c>
      <c r="C849" t="s">
        <v>531</v>
      </c>
      <c r="D849" t="s">
        <v>27</v>
      </c>
      <c r="E849" t="s">
        <v>11</v>
      </c>
      <c r="F849">
        <v>2</v>
      </c>
      <c r="G849">
        <v>665</v>
      </c>
      <c r="H849">
        <v>1330</v>
      </c>
    </row>
    <row r="850" spans="1:8" x14ac:dyDescent="0.25">
      <c r="A850" t="s">
        <v>919</v>
      </c>
      <c r="B850" s="1">
        <v>45384</v>
      </c>
      <c r="C850" t="s">
        <v>219</v>
      </c>
      <c r="D850" t="s">
        <v>17</v>
      </c>
      <c r="E850" t="s">
        <v>25</v>
      </c>
      <c r="F850">
        <v>2</v>
      </c>
      <c r="G850">
        <v>664</v>
      </c>
      <c r="H850">
        <v>1328</v>
      </c>
    </row>
    <row r="851" spans="1:8" x14ac:dyDescent="0.25">
      <c r="A851" t="s">
        <v>249</v>
      </c>
      <c r="B851" s="1">
        <v>45194</v>
      </c>
      <c r="C851" t="s">
        <v>106</v>
      </c>
      <c r="D851" t="s">
        <v>17</v>
      </c>
      <c r="E851" t="s">
        <v>32</v>
      </c>
      <c r="F851">
        <v>2</v>
      </c>
      <c r="G851">
        <v>663</v>
      </c>
      <c r="H851">
        <v>1326</v>
      </c>
    </row>
    <row r="852" spans="1:8" x14ac:dyDescent="0.25">
      <c r="A852" t="s">
        <v>1167</v>
      </c>
      <c r="B852" s="1">
        <v>45337</v>
      </c>
      <c r="C852" t="s">
        <v>324</v>
      </c>
      <c r="D852" t="s">
        <v>10</v>
      </c>
      <c r="E852" t="s">
        <v>11</v>
      </c>
      <c r="F852">
        <v>4</v>
      </c>
      <c r="G852">
        <v>330</v>
      </c>
      <c r="H852">
        <v>1320</v>
      </c>
    </row>
    <row r="853" spans="1:8" x14ac:dyDescent="0.25">
      <c r="A853" t="s">
        <v>1246</v>
      </c>
      <c r="B853" s="1">
        <v>45536</v>
      </c>
      <c r="C853" t="s">
        <v>1172</v>
      </c>
      <c r="D853" t="s">
        <v>17</v>
      </c>
      <c r="E853" t="s">
        <v>25</v>
      </c>
      <c r="F853">
        <v>2</v>
      </c>
      <c r="G853">
        <v>660</v>
      </c>
      <c r="H853">
        <v>1320</v>
      </c>
    </row>
    <row r="854" spans="1:8" x14ac:dyDescent="0.25">
      <c r="A854" t="s">
        <v>279</v>
      </c>
      <c r="B854" s="1">
        <v>45249</v>
      </c>
      <c r="C854" t="s">
        <v>115</v>
      </c>
      <c r="D854" t="s">
        <v>17</v>
      </c>
      <c r="E854" t="s">
        <v>25</v>
      </c>
      <c r="F854">
        <v>2</v>
      </c>
      <c r="G854">
        <v>658</v>
      </c>
      <c r="H854">
        <v>1316</v>
      </c>
    </row>
    <row r="855" spans="1:8" x14ac:dyDescent="0.25">
      <c r="A855" t="s">
        <v>1411</v>
      </c>
      <c r="B855" s="1">
        <v>45438</v>
      </c>
      <c r="C855" t="s">
        <v>973</v>
      </c>
      <c r="D855" t="s">
        <v>27</v>
      </c>
      <c r="E855" t="s">
        <v>32</v>
      </c>
      <c r="F855">
        <v>2</v>
      </c>
      <c r="G855">
        <v>658</v>
      </c>
      <c r="H855">
        <v>1316</v>
      </c>
    </row>
    <row r="856" spans="1:8" x14ac:dyDescent="0.25">
      <c r="A856" t="s">
        <v>514</v>
      </c>
      <c r="B856" s="1">
        <v>45421</v>
      </c>
      <c r="C856" t="s">
        <v>55</v>
      </c>
      <c r="D856" t="s">
        <v>20</v>
      </c>
      <c r="E856" t="s">
        <v>25</v>
      </c>
      <c r="F856">
        <v>5</v>
      </c>
      <c r="G856">
        <v>262</v>
      </c>
      <c r="H856">
        <v>1310</v>
      </c>
    </row>
    <row r="857" spans="1:8" x14ac:dyDescent="0.25">
      <c r="A857" t="s">
        <v>1318</v>
      </c>
      <c r="B857" s="1">
        <v>45567</v>
      </c>
      <c r="C857" t="s">
        <v>1319</v>
      </c>
      <c r="D857" t="s">
        <v>20</v>
      </c>
      <c r="E857" t="s">
        <v>25</v>
      </c>
      <c r="F857">
        <v>2</v>
      </c>
      <c r="G857">
        <v>653</v>
      </c>
      <c r="H857">
        <v>1306</v>
      </c>
    </row>
    <row r="858" spans="1:8" x14ac:dyDescent="0.25">
      <c r="A858" t="s">
        <v>1583</v>
      </c>
      <c r="B858" s="1">
        <v>45418</v>
      </c>
      <c r="C858" t="s">
        <v>1357</v>
      </c>
      <c r="D858" t="s">
        <v>20</v>
      </c>
      <c r="E858" t="s">
        <v>11</v>
      </c>
      <c r="F858">
        <v>4</v>
      </c>
      <c r="G858">
        <v>326</v>
      </c>
      <c r="H858">
        <v>1304</v>
      </c>
    </row>
    <row r="859" spans="1:8" x14ac:dyDescent="0.25">
      <c r="A859" t="s">
        <v>1807</v>
      </c>
      <c r="B859" s="1">
        <v>44975</v>
      </c>
      <c r="C859" t="s">
        <v>43</v>
      </c>
      <c r="D859" t="s">
        <v>17</v>
      </c>
      <c r="E859" t="s">
        <v>32</v>
      </c>
      <c r="F859">
        <v>2</v>
      </c>
      <c r="G859">
        <v>652</v>
      </c>
      <c r="H859">
        <v>1304</v>
      </c>
    </row>
    <row r="860" spans="1:8" x14ac:dyDescent="0.25">
      <c r="A860" t="s">
        <v>114</v>
      </c>
      <c r="B860" s="1">
        <v>45219</v>
      </c>
      <c r="C860" t="s">
        <v>115</v>
      </c>
      <c r="D860" t="s">
        <v>20</v>
      </c>
      <c r="E860" t="s">
        <v>14</v>
      </c>
      <c r="F860">
        <v>4</v>
      </c>
      <c r="G860">
        <v>325</v>
      </c>
      <c r="H860">
        <v>1300</v>
      </c>
    </row>
    <row r="861" spans="1:8" x14ac:dyDescent="0.25">
      <c r="A861" t="s">
        <v>1413</v>
      </c>
      <c r="B861" s="1">
        <v>45478</v>
      </c>
      <c r="C861" t="s">
        <v>78</v>
      </c>
      <c r="D861" t="s">
        <v>27</v>
      </c>
      <c r="E861" t="s">
        <v>32</v>
      </c>
      <c r="F861">
        <v>5</v>
      </c>
      <c r="G861">
        <v>260</v>
      </c>
      <c r="H861">
        <v>1300</v>
      </c>
    </row>
    <row r="862" spans="1:8" x14ac:dyDescent="0.25">
      <c r="A862" t="s">
        <v>520</v>
      </c>
      <c r="B862" s="1">
        <v>45405</v>
      </c>
      <c r="C862" t="s">
        <v>442</v>
      </c>
      <c r="D862" t="s">
        <v>10</v>
      </c>
      <c r="E862" t="s">
        <v>11</v>
      </c>
      <c r="F862">
        <v>3</v>
      </c>
      <c r="G862">
        <v>432</v>
      </c>
      <c r="H862">
        <v>1296</v>
      </c>
    </row>
    <row r="863" spans="1:8" x14ac:dyDescent="0.25">
      <c r="A863" t="s">
        <v>1738</v>
      </c>
      <c r="B863" s="1">
        <v>45005</v>
      </c>
      <c r="C863" t="s">
        <v>322</v>
      </c>
      <c r="D863" t="s">
        <v>20</v>
      </c>
      <c r="E863" t="s">
        <v>11</v>
      </c>
      <c r="F863">
        <v>3</v>
      </c>
      <c r="G863">
        <v>432</v>
      </c>
      <c r="H863">
        <v>1296</v>
      </c>
    </row>
    <row r="864" spans="1:8" x14ac:dyDescent="0.25">
      <c r="A864" t="s">
        <v>1769</v>
      </c>
      <c r="B864" s="1">
        <v>44967</v>
      </c>
      <c r="C864" t="s">
        <v>214</v>
      </c>
      <c r="D864" t="s">
        <v>27</v>
      </c>
      <c r="E864" t="s">
        <v>14</v>
      </c>
      <c r="F864">
        <v>4</v>
      </c>
      <c r="G864">
        <v>324</v>
      </c>
      <c r="H864">
        <v>1296</v>
      </c>
    </row>
    <row r="865" spans="1:8" x14ac:dyDescent="0.25">
      <c r="A865" t="s">
        <v>235</v>
      </c>
      <c r="B865" s="1">
        <v>45345</v>
      </c>
      <c r="C865" t="s">
        <v>236</v>
      </c>
      <c r="D865" t="s">
        <v>20</v>
      </c>
      <c r="E865" t="s">
        <v>32</v>
      </c>
      <c r="F865">
        <v>2</v>
      </c>
      <c r="G865">
        <v>647</v>
      </c>
      <c r="H865">
        <v>1294</v>
      </c>
    </row>
    <row r="866" spans="1:8" x14ac:dyDescent="0.25">
      <c r="A866" t="s">
        <v>1053</v>
      </c>
      <c r="B866" s="1">
        <v>45471</v>
      </c>
      <c r="C866" t="s">
        <v>889</v>
      </c>
      <c r="D866" t="s">
        <v>27</v>
      </c>
      <c r="E866" t="s">
        <v>14</v>
      </c>
      <c r="F866">
        <v>3</v>
      </c>
      <c r="G866">
        <v>431</v>
      </c>
      <c r="H866">
        <v>1293</v>
      </c>
    </row>
    <row r="867" spans="1:8" x14ac:dyDescent="0.25">
      <c r="A867" t="s">
        <v>623</v>
      </c>
      <c r="B867" s="1">
        <v>45495</v>
      </c>
      <c r="C867" t="s">
        <v>194</v>
      </c>
      <c r="D867" t="s">
        <v>20</v>
      </c>
      <c r="E867" t="s">
        <v>11</v>
      </c>
      <c r="F867">
        <v>3</v>
      </c>
      <c r="G867">
        <v>430</v>
      </c>
      <c r="H867">
        <v>1290</v>
      </c>
    </row>
    <row r="868" spans="1:8" x14ac:dyDescent="0.25">
      <c r="A868" t="s">
        <v>678</v>
      </c>
      <c r="B868" s="1">
        <v>45043</v>
      </c>
      <c r="C868" t="s">
        <v>148</v>
      </c>
      <c r="D868" t="s">
        <v>10</v>
      </c>
      <c r="E868" t="s">
        <v>11</v>
      </c>
      <c r="F868">
        <v>2</v>
      </c>
      <c r="G868">
        <v>645</v>
      </c>
      <c r="H868">
        <v>1290</v>
      </c>
    </row>
    <row r="869" spans="1:8" x14ac:dyDescent="0.25">
      <c r="A869" t="s">
        <v>1304</v>
      </c>
      <c r="B869" s="1">
        <v>45176</v>
      </c>
      <c r="C869" t="s">
        <v>148</v>
      </c>
      <c r="D869" t="s">
        <v>17</v>
      </c>
      <c r="E869" t="s">
        <v>11</v>
      </c>
      <c r="F869">
        <v>5</v>
      </c>
      <c r="G869">
        <v>258</v>
      </c>
      <c r="H869">
        <v>1290</v>
      </c>
    </row>
    <row r="870" spans="1:8" x14ac:dyDescent="0.25">
      <c r="A870" t="s">
        <v>804</v>
      </c>
      <c r="B870" s="1">
        <v>45039</v>
      </c>
      <c r="C870" t="s">
        <v>373</v>
      </c>
      <c r="D870" t="s">
        <v>17</v>
      </c>
      <c r="E870" t="s">
        <v>32</v>
      </c>
      <c r="F870">
        <v>3</v>
      </c>
      <c r="G870">
        <v>428</v>
      </c>
      <c r="H870">
        <v>1284</v>
      </c>
    </row>
    <row r="871" spans="1:8" x14ac:dyDescent="0.25">
      <c r="A871" t="s">
        <v>351</v>
      </c>
      <c r="B871" s="1">
        <v>45188</v>
      </c>
      <c r="C871" t="s">
        <v>352</v>
      </c>
      <c r="D871" t="s">
        <v>10</v>
      </c>
      <c r="E871" t="s">
        <v>35</v>
      </c>
      <c r="F871">
        <v>2</v>
      </c>
      <c r="G871">
        <v>634</v>
      </c>
      <c r="H871">
        <v>1268</v>
      </c>
    </row>
    <row r="872" spans="1:8" x14ac:dyDescent="0.25">
      <c r="A872" t="s">
        <v>1326</v>
      </c>
      <c r="B872" s="1">
        <v>45073</v>
      </c>
      <c r="C872" t="s">
        <v>201</v>
      </c>
      <c r="D872" t="s">
        <v>20</v>
      </c>
      <c r="E872" t="s">
        <v>32</v>
      </c>
      <c r="F872">
        <v>4</v>
      </c>
      <c r="G872">
        <v>316</v>
      </c>
      <c r="H872">
        <v>1264</v>
      </c>
    </row>
    <row r="873" spans="1:8" x14ac:dyDescent="0.25">
      <c r="A873" t="s">
        <v>1531</v>
      </c>
      <c r="B873" s="1">
        <v>45191</v>
      </c>
      <c r="C873" t="s">
        <v>473</v>
      </c>
      <c r="D873" t="s">
        <v>20</v>
      </c>
      <c r="E873" t="s">
        <v>11</v>
      </c>
      <c r="F873">
        <v>2</v>
      </c>
      <c r="G873">
        <v>628</v>
      </c>
      <c r="H873">
        <v>1256</v>
      </c>
    </row>
    <row r="874" spans="1:8" x14ac:dyDescent="0.25">
      <c r="A874" t="s">
        <v>1383</v>
      </c>
      <c r="B874" s="1">
        <v>45211</v>
      </c>
      <c r="C874" t="s">
        <v>1357</v>
      </c>
      <c r="D874" t="s">
        <v>20</v>
      </c>
      <c r="E874" t="s">
        <v>25</v>
      </c>
      <c r="F874">
        <v>3</v>
      </c>
      <c r="G874">
        <v>416</v>
      </c>
      <c r="H874">
        <v>1248</v>
      </c>
    </row>
    <row r="875" spans="1:8" x14ac:dyDescent="0.25">
      <c r="A875" t="s">
        <v>193</v>
      </c>
      <c r="B875" s="1">
        <v>45034</v>
      </c>
      <c r="C875" t="s">
        <v>194</v>
      </c>
      <c r="D875" t="s">
        <v>10</v>
      </c>
      <c r="E875" t="s">
        <v>35</v>
      </c>
      <c r="F875">
        <v>3</v>
      </c>
      <c r="G875">
        <v>415</v>
      </c>
      <c r="H875">
        <v>1245</v>
      </c>
    </row>
    <row r="876" spans="1:8" x14ac:dyDescent="0.25">
      <c r="A876" t="s">
        <v>717</v>
      </c>
      <c r="B876" s="1">
        <v>45152</v>
      </c>
      <c r="C876" t="s">
        <v>401</v>
      </c>
      <c r="D876" t="s">
        <v>10</v>
      </c>
      <c r="E876" t="s">
        <v>25</v>
      </c>
      <c r="F876">
        <v>4</v>
      </c>
      <c r="G876">
        <v>311</v>
      </c>
      <c r="H876">
        <v>1244</v>
      </c>
    </row>
    <row r="877" spans="1:8" x14ac:dyDescent="0.25">
      <c r="A877" t="s">
        <v>918</v>
      </c>
      <c r="B877" s="1">
        <v>45010</v>
      </c>
      <c r="C877" t="s">
        <v>125</v>
      </c>
      <c r="D877" t="s">
        <v>20</v>
      </c>
      <c r="E877" t="s">
        <v>35</v>
      </c>
      <c r="F877">
        <v>4</v>
      </c>
      <c r="G877">
        <v>310</v>
      </c>
      <c r="H877">
        <v>1240</v>
      </c>
    </row>
    <row r="878" spans="1:8" x14ac:dyDescent="0.25">
      <c r="A878" t="s">
        <v>1125</v>
      </c>
      <c r="B878" s="1">
        <v>45478</v>
      </c>
      <c r="C878" t="s">
        <v>185</v>
      </c>
      <c r="D878" t="s">
        <v>17</v>
      </c>
      <c r="E878" t="s">
        <v>11</v>
      </c>
      <c r="F878">
        <v>3</v>
      </c>
      <c r="G878">
        <v>413</v>
      </c>
      <c r="H878">
        <v>1239</v>
      </c>
    </row>
    <row r="879" spans="1:8" x14ac:dyDescent="0.25">
      <c r="A879" t="s">
        <v>145</v>
      </c>
      <c r="B879" s="1">
        <v>45417</v>
      </c>
      <c r="C879" t="s">
        <v>146</v>
      </c>
      <c r="D879" t="s">
        <v>17</v>
      </c>
      <c r="E879" t="s">
        <v>25</v>
      </c>
      <c r="F879">
        <v>4</v>
      </c>
      <c r="G879">
        <v>309</v>
      </c>
      <c r="H879">
        <v>1236</v>
      </c>
    </row>
    <row r="880" spans="1:8" x14ac:dyDescent="0.25">
      <c r="A880" t="s">
        <v>722</v>
      </c>
      <c r="B880" s="1">
        <v>45259</v>
      </c>
      <c r="C880" t="s">
        <v>456</v>
      </c>
      <c r="D880" t="s">
        <v>10</v>
      </c>
      <c r="E880" t="s">
        <v>25</v>
      </c>
      <c r="F880">
        <v>3</v>
      </c>
      <c r="G880">
        <v>412</v>
      </c>
      <c r="H880">
        <v>1236</v>
      </c>
    </row>
    <row r="881" spans="1:8" x14ac:dyDescent="0.25">
      <c r="A881" t="s">
        <v>1666</v>
      </c>
      <c r="B881" s="1">
        <v>45567</v>
      </c>
      <c r="C881" t="s">
        <v>34</v>
      </c>
      <c r="D881" t="s">
        <v>27</v>
      </c>
      <c r="E881" t="s">
        <v>11</v>
      </c>
      <c r="F881">
        <v>4</v>
      </c>
      <c r="G881">
        <v>309</v>
      </c>
      <c r="H881">
        <v>1236</v>
      </c>
    </row>
    <row r="882" spans="1:8" x14ac:dyDescent="0.25">
      <c r="A882" t="s">
        <v>1212</v>
      </c>
      <c r="B882" s="1">
        <v>45246</v>
      </c>
      <c r="C882" t="s">
        <v>444</v>
      </c>
      <c r="D882" t="s">
        <v>20</v>
      </c>
      <c r="E882" t="s">
        <v>25</v>
      </c>
      <c r="F882">
        <v>4</v>
      </c>
      <c r="G882">
        <v>307</v>
      </c>
      <c r="H882">
        <v>1228</v>
      </c>
    </row>
    <row r="883" spans="1:8" x14ac:dyDescent="0.25">
      <c r="A883" t="s">
        <v>283</v>
      </c>
      <c r="B883" s="1">
        <v>45537</v>
      </c>
      <c r="C883" t="s">
        <v>284</v>
      </c>
      <c r="D883" t="s">
        <v>20</v>
      </c>
      <c r="E883" t="s">
        <v>25</v>
      </c>
      <c r="F883">
        <v>4</v>
      </c>
      <c r="G883">
        <v>306</v>
      </c>
      <c r="H883">
        <v>1224</v>
      </c>
    </row>
    <row r="884" spans="1:8" x14ac:dyDescent="0.25">
      <c r="A884" t="s">
        <v>411</v>
      </c>
      <c r="B884" s="1">
        <v>45360</v>
      </c>
      <c r="C884" t="s">
        <v>356</v>
      </c>
      <c r="D884" t="s">
        <v>10</v>
      </c>
      <c r="E884" t="s">
        <v>32</v>
      </c>
      <c r="F884">
        <v>3</v>
      </c>
      <c r="G884">
        <v>408</v>
      </c>
      <c r="H884">
        <v>1224</v>
      </c>
    </row>
    <row r="885" spans="1:8" x14ac:dyDescent="0.25">
      <c r="A885" t="s">
        <v>1603</v>
      </c>
      <c r="B885" s="1">
        <v>44992</v>
      </c>
      <c r="C885" t="s">
        <v>69</v>
      </c>
      <c r="D885" t="s">
        <v>17</v>
      </c>
      <c r="E885" t="s">
        <v>14</v>
      </c>
      <c r="F885">
        <v>3</v>
      </c>
      <c r="G885">
        <v>408</v>
      </c>
      <c r="H885">
        <v>1224</v>
      </c>
    </row>
    <row r="886" spans="1:8" x14ac:dyDescent="0.25">
      <c r="A886" t="s">
        <v>872</v>
      </c>
      <c r="B886" s="1">
        <v>45565</v>
      </c>
      <c r="C886" t="s">
        <v>352</v>
      </c>
      <c r="D886" t="s">
        <v>10</v>
      </c>
      <c r="E886" t="s">
        <v>32</v>
      </c>
      <c r="F886">
        <v>2</v>
      </c>
      <c r="G886">
        <v>610</v>
      </c>
      <c r="H886">
        <v>1220</v>
      </c>
    </row>
    <row r="887" spans="1:8" x14ac:dyDescent="0.25">
      <c r="A887" t="s">
        <v>1050</v>
      </c>
      <c r="B887" s="1">
        <v>45500</v>
      </c>
      <c r="C887" t="s">
        <v>169</v>
      </c>
      <c r="D887" t="s">
        <v>27</v>
      </c>
      <c r="E887" t="s">
        <v>25</v>
      </c>
      <c r="F887">
        <v>2</v>
      </c>
      <c r="G887">
        <v>610</v>
      </c>
      <c r="H887">
        <v>1220</v>
      </c>
    </row>
    <row r="888" spans="1:8" x14ac:dyDescent="0.25">
      <c r="A888" t="s">
        <v>530</v>
      </c>
      <c r="B888" s="1">
        <v>45270</v>
      </c>
      <c r="C888" t="s">
        <v>531</v>
      </c>
      <c r="D888" t="s">
        <v>20</v>
      </c>
      <c r="E888" t="s">
        <v>35</v>
      </c>
      <c r="F888">
        <v>3</v>
      </c>
      <c r="G888">
        <v>406</v>
      </c>
      <c r="H888">
        <v>1218</v>
      </c>
    </row>
    <row r="889" spans="1:8" x14ac:dyDescent="0.25">
      <c r="A889" t="s">
        <v>579</v>
      </c>
      <c r="B889" s="1">
        <v>45302</v>
      </c>
      <c r="C889" t="s">
        <v>580</v>
      </c>
      <c r="D889" t="s">
        <v>17</v>
      </c>
      <c r="E889" t="s">
        <v>35</v>
      </c>
      <c r="F889">
        <v>4</v>
      </c>
      <c r="G889">
        <v>304</v>
      </c>
      <c r="H889">
        <v>1216</v>
      </c>
    </row>
    <row r="890" spans="1:8" x14ac:dyDescent="0.25">
      <c r="A890" t="s">
        <v>815</v>
      </c>
      <c r="B890" s="1">
        <v>45218</v>
      </c>
      <c r="C890" t="s">
        <v>156</v>
      </c>
      <c r="D890" t="s">
        <v>20</v>
      </c>
      <c r="E890" t="s">
        <v>25</v>
      </c>
      <c r="F890">
        <v>5</v>
      </c>
      <c r="G890">
        <v>243</v>
      </c>
      <c r="H890">
        <v>1215</v>
      </c>
    </row>
    <row r="891" spans="1:8" x14ac:dyDescent="0.25">
      <c r="A891" t="s">
        <v>955</v>
      </c>
      <c r="B891" s="1">
        <v>45235</v>
      </c>
      <c r="C891" t="s">
        <v>417</v>
      </c>
      <c r="D891" t="s">
        <v>20</v>
      </c>
      <c r="E891" t="s">
        <v>35</v>
      </c>
      <c r="F891">
        <v>2</v>
      </c>
      <c r="G891">
        <v>607</v>
      </c>
      <c r="H891">
        <v>1214</v>
      </c>
    </row>
    <row r="892" spans="1:8" x14ac:dyDescent="0.25">
      <c r="A892" t="s">
        <v>1743</v>
      </c>
      <c r="B892" s="1">
        <v>45308</v>
      </c>
      <c r="C892" t="s">
        <v>300</v>
      </c>
      <c r="D892" t="s">
        <v>20</v>
      </c>
      <c r="E892" t="s">
        <v>35</v>
      </c>
      <c r="F892">
        <v>3</v>
      </c>
      <c r="G892">
        <v>403</v>
      </c>
      <c r="H892">
        <v>1209</v>
      </c>
    </row>
    <row r="893" spans="1:8" x14ac:dyDescent="0.25">
      <c r="A893" t="s">
        <v>517</v>
      </c>
      <c r="B893" s="1">
        <v>45284</v>
      </c>
      <c r="C893" t="s">
        <v>473</v>
      </c>
      <c r="D893" t="s">
        <v>27</v>
      </c>
      <c r="E893" t="s">
        <v>25</v>
      </c>
      <c r="F893">
        <v>4</v>
      </c>
      <c r="G893">
        <v>302</v>
      </c>
      <c r="H893">
        <v>1208</v>
      </c>
    </row>
    <row r="894" spans="1:8" x14ac:dyDescent="0.25">
      <c r="A894" t="s">
        <v>1809</v>
      </c>
      <c r="B894" s="1">
        <v>45538</v>
      </c>
      <c r="C894" t="s">
        <v>272</v>
      </c>
      <c r="D894" t="s">
        <v>20</v>
      </c>
      <c r="E894" t="s">
        <v>25</v>
      </c>
      <c r="F894">
        <v>4</v>
      </c>
      <c r="G894">
        <v>302</v>
      </c>
      <c r="H894">
        <v>1208</v>
      </c>
    </row>
    <row r="895" spans="1:8" x14ac:dyDescent="0.25">
      <c r="A895" t="s">
        <v>215</v>
      </c>
      <c r="B895" s="1">
        <v>45023</v>
      </c>
      <c r="C895" t="s">
        <v>216</v>
      </c>
      <c r="D895" t="s">
        <v>27</v>
      </c>
      <c r="E895" t="s">
        <v>35</v>
      </c>
      <c r="F895">
        <v>4</v>
      </c>
      <c r="G895">
        <v>301</v>
      </c>
      <c r="H895">
        <v>1204</v>
      </c>
    </row>
    <row r="896" spans="1:8" x14ac:dyDescent="0.25">
      <c r="A896" t="s">
        <v>1112</v>
      </c>
      <c r="B896" s="1">
        <v>44969</v>
      </c>
      <c r="C896" t="s">
        <v>764</v>
      </c>
      <c r="D896" t="s">
        <v>17</v>
      </c>
      <c r="E896" t="s">
        <v>25</v>
      </c>
      <c r="F896">
        <v>2</v>
      </c>
      <c r="G896">
        <v>602</v>
      </c>
      <c r="H896">
        <v>1204</v>
      </c>
    </row>
    <row r="897" spans="1:8" x14ac:dyDescent="0.25">
      <c r="A897" t="s">
        <v>500</v>
      </c>
      <c r="B897" s="1">
        <v>45593</v>
      </c>
      <c r="C897" t="s">
        <v>427</v>
      </c>
      <c r="D897" t="s">
        <v>17</v>
      </c>
      <c r="E897" t="s">
        <v>35</v>
      </c>
      <c r="F897">
        <v>2</v>
      </c>
      <c r="G897">
        <v>601</v>
      </c>
      <c r="H897">
        <v>1202</v>
      </c>
    </row>
    <row r="898" spans="1:8" x14ac:dyDescent="0.25">
      <c r="A898" t="s">
        <v>784</v>
      </c>
      <c r="B898" s="1">
        <v>45210</v>
      </c>
      <c r="C898" t="s">
        <v>785</v>
      </c>
      <c r="D898" t="s">
        <v>20</v>
      </c>
      <c r="E898" t="s">
        <v>32</v>
      </c>
      <c r="F898">
        <v>2</v>
      </c>
      <c r="G898">
        <v>600</v>
      </c>
      <c r="H898">
        <v>1200</v>
      </c>
    </row>
    <row r="899" spans="1:8" x14ac:dyDescent="0.25">
      <c r="A899" t="s">
        <v>1088</v>
      </c>
      <c r="B899" s="1">
        <v>44968</v>
      </c>
      <c r="C899" t="s">
        <v>663</v>
      </c>
      <c r="D899" t="s">
        <v>17</v>
      </c>
      <c r="E899" t="s">
        <v>25</v>
      </c>
      <c r="F899">
        <v>2</v>
      </c>
      <c r="G899">
        <v>599</v>
      </c>
      <c r="H899">
        <v>1198</v>
      </c>
    </row>
    <row r="900" spans="1:8" x14ac:dyDescent="0.25">
      <c r="A900" t="s">
        <v>615</v>
      </c>
      <c r="B900" s="1">
        <v>45090</v>
      </c>
      <c r="C900" t="s">
        <v>43</v>
      </c>
      <c r="D900" t="s">
        <v>10</v>
      </c>
      <c r="E900" t="s">
        <v>32</v>
      </c>
      <c r="F900">
        <v>2</v>
      </c>
      <c r="G900">
        <v>598</v>
      </c>
      <c r="H900">
        <v>1196</v>
      </c>
    </row>
    <row r="901" spans="1:8" x14ac:dyDescent="0.25">
      <c r="A901" t="s">
        <v>262</v>
      </c>
      <c r="B901" s="1">
        <v>45240</v>
      </c>
      <c r="C901" t="s">
        <v>263</v>
      </c>
      <c r="D901" t="s">
        <v>17</v>
      </c>
      <c r="E901" t="s">
        <v>11</v>
      </c>
      <c r="F901">
        <v>2</v>
      </c>
      <c r="G901">
        <v>597</v>
      </c>
      <c r="H901">
        <v>1194</v>
      </c>
    </row>
    <row r="902" spans="1:8" x14ac:dyDescent="0.25">
      <c r="A902" t="s">
        <v>758</v>
      </c>
      <c r="B902" s="1">
        <v>45474</v>
      </c>
      <c r="C902" t="s">
        <v>96</v>
      </c>
      <c r="D902" t="s">
        <v>17</v>
      </c>
      <c r="E902" t="s">
        <v>32</v>
      </c>
      <c r="F902">
        <v>1</v>
      </c>
      <c r="G902">
        <v>1194</v>
      </c>
      <c r="H902">
        <v>1194</v>
      </c>
    </row>
    <row r="903" spans="1:8" x14ac:dyDescent="0.25">
      <c r="A903" t="s">
        <v>964</v>
      </c>
      <c r="B903" s="1">
        <v>45433</v>
      </c>
      <c r="C903" t="s">
        <v>864</v>
      </c>
      <c r="D903" t="s">
        <v>10</v>
      </c>
      <c r="E903" t="s">
        <v>11</v>
      </c>
      <c r="F903">
        <v>1</v>
      </c>
      <c r="G903">
        <v>1193</v>
      </c>
      <c r="H903">
        <v>1193</v>
      </c>
    </row>
    <row r="904" spans="1:8" x14ac:dyDescent="0.25">
      <c r="A904" t="s">
        <v>960</v>
      </c>
      <c r="B904" s="1">
        <v>45218</v>
      </c>
      <c r="C904" t="s">
        <v>766</v>
      </c>
      <c r="D904" t="s">
        <v>10</v>
      </c>
      <c r="E904" t="s">
        <v>14</v>
      </c>
      <c r="F904">
        <v>4</v>
      </c>
      <c r="G904">
        <v>298</v>
      </c>
      <c r="H904">
        <v>1192</v>
      </c>
    </row>
    <row r="905" spans="1:8" x14ac:dyDescent="0.25">
      <c r="A905" t="s">
        <v>1153</v>
      </c>
      <c r="B905" s="1">
        <v>45513</v>
      </c>
      <c r="C905" t="s">
        <v>671</v>
      </c>
      <c r="D905" t="s">
        <v>10</v>
      </c>
      <c r="E905" t="s">
        <v>25</v>
      </c>
      <c r="F905">
        <v>2</v>
      </c>
      <c r="G905">
        <v>595</v>
      </c>
      <c r="H905">
        <v>1190</v>
      </c>
    </row>
    <row r="906" spans="1:8" x14ac:dyDescent="0.25">
      <c r="A906" t="s">
        <v>443</v>
      </c>
      <c r="B906" s="1">
        <v>45192</v>
      </c>
      <c r="C906" t="s">
        <v>444</v>
      </c>
      <c r="D906" t="s">
        <v>17</v>
      </c>
      <c r="E906" t="s">
        <v>32</v>
      </c>
      <c r="F906">
        <v>5</v>
      </c>
      <c r="G906">
        <v>237</v>
      </c>
      <c r="H906">
        <v>1185</v>
      </c>
    </row>
    <row r="907" spans="1:8" x14ac:dyDescent="0.25">
      <c r="A907" t="s">
        <v>798</v>
      </c>
      <c r="B907" s="1">
        <v>45428</v>
      </c>
      <c r="C907" t="s">
        <v>799</v>
      </c>
      <c r="D907" t="s">
        <v>10</v>
      </c>
      <c r="E907" t="s">
        <v>14</v>
      </c>
      <c r="F907">
        <v>2</v>
      </c>
      <c r="G907">
        <v>592</v>
      </c>
      <c r="H907">
        <v>1184</v>
      </c>
    </row>
    <row r="908" spans="1:8" x14ac:dyDescent="0.25">
      <c r="A908" t="s">
        <v>1052</v>
      </c>
      <c r="B908" s="1">
        <v>45271</v>
      </c>
      <c r="C908" t="s">
        <v>449</v>
      </c>
      <c r="D908" t="s">
        <v>10</v>
      </c>
      <c r="E908" t="s">
        <v>14</v>
      </c>
      <c r="F908">
        <v>2</v>
      </c>
      <c r="G908">
        <v>592</v>
      </c>
      <c r="H908">
        <v>1184</v>
      </c>
    </row>
    <row r="909" spans="1:8" x14ac:dyDescent="0.25">
      <c r="A909" t="s">
        <v>822</v>
      </c>
      <c r="B909" s="1">
        <v>44955</v>
      </c>
      <c r="C909" t="s">
        <v>541</v>
      </c>
      <c r="D909" t="s">
        <v>10</v>
      </c>
      <c r="E909" t="s">
        <v>25</v>
      </c>
      <c r="F909">
        <v>2</v>
      </c>
      <c r="G909">
        <v>590</v>
      </c>
      <c r="H909">
        <v>1180</v>
      </c>
    </row>
    <row r="910" spans="1:8" x14ac:dyDescent="0.25">
      <c r="A910" t="s">
        <v>1032</v>
      </c>
      <c r="B910" s="1">
        <v>45075</v>
      </c>
      <c r="C910" t="s">
        <v>59</v>
      </c>
      <c r="D910" t="s">
        <v>17</v>
      </c>
      <c r="E910" t="s">
        <v>11</v>
      </c>
      <c r="F910">
        <v>5</v>
      </c>
      <c r="G910">
        <v>235</v>
      </c>
      <c r="H910">
        <v>1175</v>
      </c>
    </row>
    <row r="911" spans="1:8" x14ac:dyDescent="0.25">
      <c r="A911" t="s">
        <v>1241</v>
      </c>
      <c r="B911" s="1">
        <v>45245</v>
      </c>
      <c r="C911" t="s">
        <v>690</v>
      </c>
      <c r="D911" t="s">
        <v>27</v>
      </c>
      <c r="E911" t="s">
        <v>11</v>
      </c>
      <c r="F911">
        <v>5</v>
      </c>
      <c r="G911">
        <v>235</v>
      </c>
      <c r="H911">
        <v>1175</v>
      </c>
    </row>
    <row r="912" spans="1:8" x14ac:dyDescent="0.25">
      <c r="A912" t="s">
        <v>1072</v>
      </c>
      <c r="B912" s="1">
        <v>45369</v>
      </c>
      <c r="C912" t="s">
        <v>292</v>
      </c>
      <c r="D912" t="s">
        <v>27</v>
      </c>
      <c r="E912" t="s">
        <v>11</v>
      </c>
      <c r="F912">
        <v>4</v>
      </c>
      <c r="G912">
        <v>293</v>
      </c>
      <c r="H912">
        <v>1172</v>
      </c>
    </row>
    <row r="913" spans="1:8" x14ac:dyDescent="0.25">
      <c r="A913" t="s">
        <v>1194</v>
      </c>
      <c r="B913" s="1">
        <v>45243</v>
      </c>
      <c r="C913" t="s">
        <v>117</v>
      </c>
      <c r="D913" t="s">
        <v>27</v>
      </c>
      <c r="E913" t="s">
        <v>32</v>
      </c>
      <c r="F913">
        <v>4</v>
      </c>
      <c r="G913">
        <v>293</v>
      </c>
      <c r="H913">
        <v>1172</v>
      </c>
    </row>
    <row r="914" spans="1:8" x14ac:dyDescent="0.25">
      <c r="A914" t="s">
        <v>1740</v>
      </c>
      <c r="B914" s="1">
        <v>45121</v>
      </c>
      <c r="C914" t="s">
        <v>437</v>
      </c>
      <c r="D914" t="s">
        <v>27</v>
      </c>
      <c r="E914" t="s">
        <v>25</v>
      </c>
      <c r="F914">
        <v>1</v>
      </c>
      <c r="G914">
        <v>1171</v>
      </c>
      <c r="H914">
        <v>1171</v>
      </c>
    </row>
    <row r="915" spans="1:8" x14ac:dyDescent="0.25">
      <c r="A915" t="s">
        <v>1152</v>
      </c>
      <c r="B915" s="1">
        <v>45554</v>
      </c>
      <c r="C915" t="s">
        <v>382</v>
      </c>
      <c r="D915" t="s">
        <v>27</v>
      </c>
      <c r="E915" t="s">
        <v>11</v>
      </c>
      <c r="F915">
        <v>2</v>
      </c>
      <c r="G915">
        <v>585</v>
      </c>
      <c r="H915">
        <v>1170</v>
      </c>
    </row>
    <row r="916" spans="1:8" x14ac:dyDescent="0.25">
      <c r="A916" t="s">
        <v>829</v>
      </c>
      <c r="B916" s="1">
        <v>44988</v>
      </c>
      <c r="C916" t="s">
        <v>336</v>
      </c>
      <c r="D916" t="s">
        <v>10</v>
      </c>
      <c r="E916" t="s">
        <v>32</v>
      </c>
      <c r="F916">
        <v>1</v>
      </c>
      <c r="G916">
        <v>1169</v>
      </c>
      <c r="H916">
        <v>1169</v>
      </c>
    </row>
    <row r="917" spans="1:8" x14ac:dyDescent="0.25">
      <c r="A917" t="s">
        <v>511</v>
      </c>
      <c r="B917" s="1">
        <v>45046</v>
      </c>
      <c r="C917" t="s">
        <v>268</v>
      </c>
      <c r="D917" t="s">
        <v>27</v>
      </c>
      <c r="E917" t="s">
        <v>25</v>
      </c>
      <c r="F917">
        <v>1</v>
      </c>
      <c r="G917">
        <v>1167</v>
      </c>
      <c r="H917">
        <v>1167</v>
      </c>
    </row>
    <row r="918" spans="1:8" x14ac:dyDescent="0.25">
      <c r="A918" t="s">
        <v>337</v>
      </c>
      <c r="B918" s="1">
        <v>45265</v>
      </c>
      <c r="C918" t="s">
        <v>338</v>
      </c>
      <c r="D918" t="s">
        <v>27</v>
      </c>
      <c r="E918" t="s">
        <v>25</v>
      </c>
      <c r="F918">
        <v>5</v>
      </c>
      <c r="G918">
        <v>233</v>
      </c>
      <c r="H918">
        <v>1165</v>
      </c>
    </row>
    <row r="919" spans="1:8" x14ac:dyDescent="0.25">
      <c r="A919" t="s">
        <v>1519</v>
      </c>
      <c r="B919" s="1">
        <v>45361</v>
      </c>
      <c r="C919" t="s">
        <v>258</v>
      </c>
      <c r="D919" t="s">
        <v>17</v>
      </c>
      <c r="E919" t="s">
        <v>25</v>
      </c>
      <c r="F919">
        <v>1</v>
      </c>
      <c r="G919">
        <v>1163</v>
      </c>
      <c r="H919">
        <v>1163</v>
      </c>
    </row>
    <row r="920" spans="1:8" x14ac:dyDescent="0.25">
      <c r="A920" t="s">
        <v>212</v>
      </c>
      <c r="B920" s="1">
        <v>45419</v>
      </c>
      <c r="C920" t="s">
        <v>156</v>
      </c>
      <c r="D920" t="s">
        <v>17</v>
      </c>
      <c r="E920" t="s">
        <v>25</v>
      </c>
      <c r="F920">
        <v>1</v>
      </c>
      <c r="G920">
        <v>1162</v>
      </c>
      <c r="H920">
        <v>1162</v>
      </c>
    </row>
    <row r="921" spans="1:8" x14ac:dyDescent="0.25">
      <c r="A921" t="s">
        <v>1429</v>
      </c>
      <c r="B921" s="1">
        <v>44993</v>
      </c>
      <c r="C921" t="s">
        <v>211</v>
      </c>
      <c r="D921" t="s">
        <v>10</v>
      </c>
      <c r="E921" t="s">
        <v>35</v>
      </c>
      <c r="F921">
        <v>4</v>
      </c>
      <c r="G921">
        <v>290</v>
      </c>
      <c r="H921">
        <v>1160</v>
      </c>
    </row>
    <row r="922" spans="1:8" x14ac:dyDescent="0.25">
      <c r="A922" t="s">
        <v>1430</v>
      </c>
      <c r="B922" s="1">
        <v>45605</v>
      </c>
      <c r="C922" t="s">
        <v>1431</v>
      </c>
      <c r="D922" t="s">
        <v>17</v>
      </c>
      <c r="E922" t="s">
        <v>35</v>
      </c>
      <c r="F922">
        <v>2</v>
      </c>
      <c r="G922">
        <v>580</v>
      </c>
      <c r="H922">
        <v>1160</v>
      </c>
    </row>
    <row r="923" spans="1:8" x14ac:dyDescent="0.25">
      <c r="A923" t="s">
        <v>1251</v>
      </c>
      <c r="B923" s="1">
        <v>45610</v>
      </c>
      <c r="C923" t="s">
        <v>119</v>
      </c>
      <c r="D923" t="s">
        <v>20</v>
      </c>
      <c r="E923" t="s">
        <v>35</v>
      </c>
      <c r="F923">
        <v>2</v>
      </c>
      <c r="G923">
        <v>579</v>
      </c>
      <c r="H923">
        <v>1158</v>
      </c>
    </row>
    <row r="924" spans="1:8" x14ac:dyDescent="0.25">
      <c r="A924" t="s">
        <v>1651</v>
      </c>
      <c r="B924" s="1">
        <v>44977</v>
      </c>
      <c r="C924" t="s">
        <v>78</v>
      </c>
      <c r="D924" t="s">
        <v>27</v>
      </c>
      <c r="E924" t="s">
        <v>35</v>
      </c>
      <c r="F924">
        <v>1</v>
      </c>
      <c r="G924">
        <v>1158</v>
      </c>
      <c r="H924">
        <v>1158</v>
      </c>
    </row>
    <row r="925" spans="1:8" x14ac:dyDescent="0.25">
      <c r="A925" t="s">
        <v>1662</v>
      </c>
      <c r="B925" s="1">
        <v>45458</v>
      </c>
      <c r="C925" t="s">
        <v>177</v>
      </c>
      <c r="D925" t="s">
        <v>17</v>
      </c>
      <c r="E925" t="s">
        <v>35</v>
      </c>
      <c r="F925">
        <v>2</v>
      </c>
      <c r="G925">
        <v>579</v>
      </c>
      <c r="H925">
        <v>1158</v>
      </c>
    </row>
    <row r="926" spans="1:8" x14ac:dyDescent="0.25">
      <c r="A926" t="s">
        <v>786</v>
      </c>
      <c r="B926" s="1">
        <v>45553</v>
      </c>
      <c r="C926" t="s">
        <v>130</v>
      </c>
      <c r="D926" t="s">
        <v>17</v>
      </c>
      <c r="E926" t="s">
        <v>25</v>
      </c>
      <c r="F926">
        <v>4</v>
      </c>
      <c r="G926">
        <v>289</v>
      </c>
      <c r="H926">
        <v>1156</v>
      </c>
    </row>
    <row r="927" spans="1:8" x14ac:dyDescent="0.25">
      <c r="A927" t="s">
        <v>701</v>
      </c>
      <c r="B927" s="1">
        <v>45391</v>
      </c>
      <c r="C927" t="s">
        <v>156</v>
      </c>
      <c r="D927" t="s">
        <v>10</v>
      </c>
      <c r="E927" t="s">
        <v>32</v>
      </c>
      <c r="F927">
        <v>5</v>
      </c>
      <c r="G927">
        <v>231</v>
      </c>
      <c r="H927">
        <v>1155</v>
      </c>
    </row>
    <row r="928" spans="1:8" x14ac:dyDescent="0.25">
      <c r="A928" t="s">
        <v>1771</v>
      </c>
      <c r="B928" s="1">
        <v>44958</v>
      </c>
      <c r="C928" t="s">
        <v>927</v>
      </c>
      <c r="D928" t="s">
        <v>20</v>
      </c>
      <c r="E928" t="s">
        <v>32</v>
      </c>
      <c r="F928">
        <v>2</v>
      </c>
      <c r="G928">
        <v>576</v>
      </c>
      <c r="H928">
        <v>1152</v>
      </c>
    </row>
    <row r="929" spans="1:8" x14ac:dyDescent="0.25">
      <c r="A929" t="s">
        <v>611</v>
      </c>
      <c r="B929" s="1">
        <v>45464</v>
      </c>
      <c r="C929" t="s">
        <v>232</v>
      </c>
      <c r="D929" t="s">
        <v>20</v>
      </c>
      <c r="E929" t="s">
        <v>32</v>
      </c>
      <c r="F929">
        <v>2</v>
      </c>
      <c r="G929">
        <v>575</v>
      </c>
      <c r="H929">
        <v>1150</v>
      </c>
    </row>
    <row r="930" spans="1:8" x14ac:dyDescent="0.25">
      <c r="A930" t="s">
        <v>458</v>
      </c>
      <c r="B930" s="1">
        <v>45184</v>
      </c>
      <c r="C930" t="s">
        <v>459</v>
      </c>
      <c r="D930" t="s">
        <v>17</v>
      </c>
      <c r="E930" t="s">
        <v>32</v>
      </c>
      <c r="F930">
        <v>1</v>
      </c>
      <c r="G930">
        <v>1149</v>
      </c>
      <c r="H930">
        <v>1149</v>
      </c>
    </row>
    <row r="931" spans="1:8" x14ac:dyDescent="0.25">
      <c r="A931" t="s">
        <v>397</v>
      </c>
      <c r="B931" s="1">
        <v>45185</v>
      </c>
      <c r="C931" t="s">
        <v>398</v>
      </c>
      <c r="D931" t="s">
        <v>27</v>
      </c>
      <c r="E931" t="s">
        <v>14</v>
      </c>
      <c r="F931">
        <v>2</v>
      </c>
      <c r="G931">
        <v>572</v>
      </c>
      <c r="H931">
        <v>1144</v>
      </c>
    </row>
    <row r="932" spans="1:8" x14ac:dyDescent="0.25">
      <c r="A932" t="s">
        <v>1775</v>
      </c>
      <c r="B932" s="1">
        <v>45622</v>
      </c>
      <c r="C932" t="s">
        <v>1426</v>
      </c>
      <c r="D932" t="s">
        <v>27</v>
      </c>
      <c r="E932" t="s">
        <v>35</v>
      </c>
      <c r="F932">
        <v>2</v>
      </c>
      <c r="G932">
        <v>572</v>
      </c>
      <c r="H932">
        <v>1144</v>
      </c>
    </row>
    <row r="933" spans="1:8" x14ac:dyDescent="0.25">
      <c r="A933" t="s">
        <v>1055</v>
      </c>
      <c r="B933" s="1">
        <v>45248</v>
      </c>
      <c r="C933" t="s">
        <v>848</v>
      </c>
      <c r="D933" t="s">
        <v>17</v>
      </c>
      <c r="E933" t="s">
        <v>11</v>
      </c>
      <c r="F933">
        <v>1</v>
      </c>
      <c r="G933">
        <v>1140</v>
      </c>
      <c r="H933">
        <v>1140</v>
      </c>
    </row>
    <row r="934" spans="1:8" x14ac:dyDescent="0.25">
      <c r="A934" t="s">
        <v>878</v>
      </c>
      <c r="B934" s="1">
        <v>45194</v>
      </c>
      <c r="C934" t="s">
        <v>398</v>
      </c>
      <c r="D934" t="s">
        <v>27</v>
      </c>
      <c r="E934" t="s">
        <v>32</v>
      </c>
      <c r="F934">
        <v>1</v>
      </c>
      <c r="G934">
        <v>1136</v>
      </c>
      <c r="H934">
        <v>1136</v>
      </c>
    </row>
    <row r="935" spans="1:8" x14ac:dyDescent="0.25">
      <c r="A935" t="s">
        <v>714</v>
      </c>
      <c r="B935" s="1">
        <v>45609</v>
      </c>
      <c r="C935" t="s">
        <v>146</v>
      </c>
      <c r="D935" t="s">
        <v>10</v>
      </c>
      <c r="E935" t="s">
        <v>11</v>
      </c>
      <c r="F935">
        <v>5</v>
      </c>
      <c r="G935">
        <v>227</v>
      </c>
      <c r="H935">
        <v>1135</v>
      </c>
    </row>
    <row r="936" spans="1:8" x14ac:dyDescent="0.25">
      <c r="A936" t="s">
        <v>1099</v>
      </c>
      <c r="B936" s="1">
        <v>45235</v>
      </c>
      <c r="C936" t="s">
        <v>67</v>
      </c>
      <c r="D936" t="s">
        <v>27</v>
      </c>
      <c r="E936" t="s">
        <v>25</v>
      </c>
      <c r="F936">
        <v>1</v>
      </c>
      <c r="G936">
        <v>1132</v>
      </c>
      <c r="H936">
        <v>1132</v>
      </c>
    </row>
    <row r="937" spans="1:8" x14ac:dyDescent="0.25">
      <c r="A937" t="s">
        <v>840</v>
      </c>
      <c r="B937" s="1">
        <v>45038</v>
      </c>
      <c r="C937" t="s">
        <v>413</v>
      </c>
      <c r="D937" t="s">
        <v>27</v>
      </c>
      <c r="E937" t="s">
        <v>11</v>
      </c>
      <c r="F937">
        <v>3</v>
      </c>
      <c r="G937">
        <v>377</v>
      </c>
      <c r="H937">
        <v>1131</v>
      </c>
    </row>
    <row r="938" spans="1:8" x14ac:dyDescent="0.25">
      <c r="A938" t="s">
        <v>1185</v>
      </c>
      <c r="B938" s="1">
        <v>45488</v>
      </c>
      <c r="C938" t="s">
        <v>695</v>
      </c>
      <c r="D938" t="s">
        <v>17</v>
      </c>
      <c r="E938" t="s">
        <v>35</v>
      </c>
      <c r="F938">
        <v>1</v>
      </c>
      <c r="G938">
        <v>1131</v>
      </c>
      <c r="H938">
        <v>1131</v>
      </c>
    </row>
    <row r="939" spans="1:8" x14ac:dyDescent="0.25">
      <c r="A939" t="s">
        <v>705</v>
      </c>
      <c r="B939" s="1">
        <v>45081</v>
      </c>
      <c r="C939" t="s">
        <v>706</v>
      </c>
      <c r="D939" t="s">
        <v>20</v>
      </c>
      <c r="E939" t="s">
        <v>32</v>
      </c>
      <c r="F939">
        <v>1</v>
      </c>
      <c r="G939">
        <v>1124</v>
      </c>
      <c r="H939">
        <v>1124</v>
      </c>
    </row>
    <row r="940" spans="1:8" x14ac:dyDescent="0.25">
      <c r="A940" t="s">
        <v>205</v>
      </c>
      <c r="B940" s="1">
        <v>45128</v>
      </c>
      <c r="C940" t="s">
        <v>206</v>
      </c>
      <c r="D940" t="s">
        <v>17</v>
      </c>
      <c r="E940" t="s">
        <v>25</v>
      </c>
      <c r="F940">
        <v>3</v>
      </c>
      <c r="G940">
        <v>374</v>
      </c>
      <c r="H940">
        <v>1122</v>
      </c>
    </row>
    <row r="941" spans="1:8" x14ac:dyDescent="0.25">
      <c r="A941" t="s">
        <v>1458</v>
      </c>
      <c r="B941" s="1">
        <v>45239</v>
      </c>
      <c r="C941" t="s">
        <v>607</v>
      </c>
      <c r="D941" t="s">
        <v>17</v>
      </c>
      <c r="E941" t="s">
        <v>11</v>
      </c>
      <c r="F941">
        <v>3</v>
      </c>
      <c r="G941">
        <v>374</v>
      </c>
      <c r="H941">
        <v>1122</v>
      </c>
    </row>
    <row r="942" spans="1:8" x14ac:dyDescent="0.25">
      <c r="A942" t="s">
        <v>687</v>
      </c>
      <c r="B942" s="1">
        <v>45250</v>
      </c>
      <c r="C942" t="s">
        <v>49</v>
      </c>
      <c r="D942" t="s">
        <v>20</v>
      </c>
      <c r="E942" t="s">
        <v>14</v>
      </c>
      <c r="F942">
        <v>1</v>
      </c>
      <c r="G942">
        <v>1119</v>
      </c>
      <c r="H942">
        <v>1119</v>
      </c>
    </row>
    <row r="943" spans="1:8" x14ac:dyDescent="0.25">
      <c r="A943" t="s">
        <v>241</v>
      </c>
      <c r="B943" s="1">
        <v>45202</v>
      </c>
      <c r="C943" t="s">
        <v>106</v>
      </c>
      <c r="D943" t="s">
        <v>27</v>
      </c>
      <c r="E943" t="s">
        <v>11</v>
      </c>
      <c r="F943">
        <v>2</v>
      </c>
      <c r="G943">
        <v>558</v>
      </c>
      <c r="H943">
        <v>1116</v>
      </c>
    </row>
    <row r="944" spans="1:8" x14ac:dyDescent="0.25">
      <c r="A944" t="s">
        <v>616</v>
      </c>
      <c r="B944" s="1">
        <v>45205</v>
      </c>
      <c r="C944" t="s">
        <v>150</v>
      </c>
      <c r="D944" t="s">
        <v>20</v>
      </c>
      <c r="E944" t="s">
        <v>32</v>
      </c>
      <c r="F944">
        <v>3</v>
      </c>
      <c r="G944">
        <v>372</v>
      </c>
      <c r="H944">
        <v>1116</v>
      </c>
    </row>
    <row r="945" spans="1:8" x14ac:dyDescent="0.25">
      <c r="A945" t="s">
        <v>1305</v>
      </c>
      <c r="B945" s="1">
        <v>45005</v>
      </c>
      <c r="C945" t="s">
        <v>1158</v>
      </c>
      <c r="D945" t="s">
        <v>20</v>
      </c>
      <c r="E945" t="s">
        <v>25</v>
      </c>
      <c r="F945">
        <v>2</v>
      </c>
      <c r="G945">
        <v>557</v>
      </c>
      <c r="H945">
        <v>1114</v>
      </c>
    </row>
    <row r="946" spans="1:8" x14ac:dyDescent="0.25">
      <c r="A946" t="s">
        <v>757</v>
      </c>
      <c r="B946" s="1">
        <v>45552</v>
      </c>
      <c r="C946" t="s">
        <v>356</v>
      </c>
      <c r="D946" t="s">
        <v>10</v>
      </c>
      <c r="E946" t="s">
        <v>11</v>
      </c>
      <c r="F946">
        <v>1</v>
      </c>
      <c r="G946">
        <v>1112</v>
      </c>
      <c r="H946">
        <v>1112</v>
      </c>
    </row>
    <row r="947" spans="1:8" x14ac:dyDescent="0.25">
      <c r="A947" t="s">
        <v>1103</v>
      </c>
      <c r="B947" s="1">
        <v>45327</v>
      </c>
      <c r="C947" t="s">
        <v>427</v>
      </c>
      <c r="D947" t="s">
        <v>10</v>
      </c>
      <c r="E947" t="s">
        <v>14</v>
      </c>
      <c r="F947">
        <v>4</v>
      </c>
      <c r="G947">
        <v>278</v>
      </c>
      <c r="H947">
        <v>1112</v>
      </c>
    </row>
    <row r="948" spans="1:8" x14ac:dyDescent="0.25">
      <c r="A948" t="s">
        <v>550</v>
      </c>
      <c r="B948" s="1">
        <v>45543</v>
      </c>
      <c r="C948" t="s">
        <v>551</v>
      </c>
      <c r="D948" t="s">
        <v>17</v>
      </c>
      <c r="E948" t="s">
        <v>11</v>
      </c>
      <c r="F948">
        <v>4</v>
      </c>
      <c r="G948">
        <v>277</v>
      </c>
      <c r="H948">
        <v>1108</v>
      </c>
    </row>
    <row r="949" spans="1:8" x14ac:dyDescent="0.25">
      <c r="A949" t="s">
        <v>1491</v>
      </c>
      <c r="B949" s="1">
        <v>45202</v>
      </c>
      <c r="C949" t="s">
        <v>34</v>
      </c>
      <c r="D949" t="s">
        <v>20</v>
      </c>
      <c r="E949" t="s">
        <v>11</v>
      </c>
      <c r="F949">
        <v>3</v>
      </c>
      <c r="G949">
        <v>369</v>
      </c>
      <c r="H949">
        <v>1107</v>
      </c>
    </row>
    <row r="950" spans="1:8" x14ac:dyDescent="0.25">
      <c r="A950" t="s">
        <v>267</v>
      </c>
      <c r="B950" s="1">
        <v>44928</v>
      </c>
      <c r="C950" t="s">
        <v>268</v>
      </c>
      <c r="D950" t="s">
        <v>10</v>
      </c>
      <c r="E950" t="s">
        <v>14</v>
      </c>
      <c r="F950">
        <v>1</v>
      </c>
      <c r="G950">
        <v>1106</v>
      </c>
      <c r="H950">
        <v>1106</v>
      </c>
    </row>
    <row r="951" spans="1:8" x14ac:dyDescent="0.25">
      <c r="A951" t="s">
        <v>711</v>
      </c>
      <c r="B951" s="1">
        <v>45580</v>
      </c>
      <c r="C951" t="s">
        <v>100</v>
      </c>
      <c r="D951" t="s">
        <v>27</v>
      </c>
      <c r="E951" t="s">
        <v>25</v>
      </c>
      <c r="F951">
        <v>1</v>
      </c>
      <c r="G951">
        <v>1103</v>
      </c>
      <c r="H951">
        <v>1103</v>
      </c>
    </row>
    <row r="952" spans="1:8" x14ac:dyDescent="0.25">
      <c r="A952" t="s">
        <v>1352</v>
      </c>
      <c r="B952" s="1">
        <v>45021</v>
      </c>
      <c r="C952" t="s">
        <v>766</v>
      </c>
      <c r="D952" t="s">
        <v>10</v>
      </c>
      <c r="E952" t="s">
        <v>25</v>
      </c>
      <c r="F952">
        <v>3</v>
      </c>
      <c r="G952">
        <v>367</v>
      </c>
      <c r="H952">
        <v>1101</v>
      </c>
    </row>
    <row r="953" spans="1:8" x14ac:dyDescent="0.25">
      <c r="A953" t="s">
        <v>893</v>
      </c>
      <c r="B953" s="1">
        <v>45594</v>
      </c>
      <c r="C953" t="s">
        <v>605</v>
      </c>
      <c r="D953" t="s">
        <v>20</v>
      </c>
      <c r="E953" t="s">
        <v>25</v>
      </c>
      <c r="F953">
        <v>2</v>
      </c>
      <c r="G953">
        <v>550</v>
      </c>
      <c r="H953">
        <v>1100</v>
      </c>
    </row>
    <row r="954" spans="1:8" x14ac:dyDescent="0.25">
      <c r="A954" t="s">
        <v>1604</v>
      </c>
      <c r="B954" s="1">
        <v>45172</v>
      </c>
      <c r="C954" t="s">
        <v>456</v>
      </c>
      <c r="D954" t="s">
        <v>20</v>
      </c>
      <c r="E954" t="s">
        <v>32</v>
      </c>
      <c r="F954">
        <v>3</v>
      </c>
      <c r="G954">
        <v>366</v>
      </c>
      <c r="H954">
        <v>1098</v>
      </c>
    </row>
    <row r="955" spans="1:8" x14ac:dyDescent="0.25">
      <c r="A955" t="s">
        <v>1155</v>
      </c>
      <c r="B955" s="1">
        <v>45527</v>
      </c>
      <c r="C955" t="s">
        <v>278</v>
      </c>
      <c r="D955" t="s">
        <v>10</v>
      </c>
      <c r="E955" t="s">
        <v>25</v>
      </c>
      <c r="F955">
        <v>5</v>
      </c>
      <c r="G955">
        <v>219</v>
      </c>
      <c r="H955">
        <v>1095</v>
      </c>
    </row>
    <row r="956" spans="1:8" x14ac:dyDescent="0.25">
      <c r="A956" t="s">
        <v>573</v>
      </c>
      <c r="B956" s="1">
        <v>45510</v>
      </c>
      <c r="C956" t="s">
        <v>574</v>
      </c>
      <c r="D956" t="s">
        <v>20</v>
      </c>
      <c r="E956" t="s">
        <v>14</v>
      </c>
      <c r="F956">
        <v>2</v>
      </c>
      <c r="G956">
        <v>547</v>
      </c>
      <c r="H956">
        <v>1094</v>
      </c>
    </row>
    <row r="957" spans="1:8" x14ac:dyDescent="0.25">
      <c r="A957" t="s">
        <v>1726</v>
      </c>
      <c r="B957" s="1">
        <v>45099</v>
      </c>
      <c r="C957" t="s">
        <v>252</v>
      </c>
      <c r="D957" t="s">
        <v>10</v>
      </c>
      <c r="E957" t="s">
        <v>25</v>
      </c>
      <c r="F957">
        <v>2</v>
      </c>
      <c r="G957">
        <v>547</v>
      </c>
      <c r="H957">
        <v>1094</v>
      </c>
    </row>
    <row r="958" spans="1:8" x14ac:dyDescent="0.25">
      <c r="A958" t="s">
        <v>664</v>
      </c>
      <c r="B958" s="1">
        <v>45578</v>
      </c>
      <c r="C958" t="s">
        <v>179</v>
      </c>
      <c r="D958" t="s">
        <v>27</v>
      </c>
      <c r="E958" t="s">
        <v>35</v>
      </c>
      <c r="F958">
        <v>4</v>
      </c>
      <c r="G958">
        <v>273</v>
      </c>
      <c r="H958">
        <v>1092</v>
      </c>
    </row>
    <row r="959" spans="1:8" x14ac:dyDescent="0.25">
      <c r="A959" t="s">
        <v>838</v>
      </c>
      <c r="B959" s="1">
        <v>45071</v>
      </c>
      <c r="C959" t="s">
        <v>839</v>
      </c>
      <c r="D959" t="s">
        <v>10</v>
      </c>
      <c r="E959" t="s">
        <v>32</v>
      </c>
      <c r="F959">
        <v>1</v>
      </c>
      <c r="G959">
        <v>1091</v>
      </c>
      <c r="H959">
        <v>1091</v>
      </c>
    </row>
    <row r="960" spans="1:8" x14ac:dyDescent="0.25">
      <c r="A960" t="s">
        <v>247</v>
      </c>
      <c r="B960" s="1">
        <v>45336</v>
      </c>
      <c r="C960" t="s">
        <v>248</v>
      </c>
      <c r="D960" t="s">
        <v>17</v>
      </c>
      <c r="E960" t="s">
        <v>25</v>
      </c>
      <c r="F960">
        <v>3</v>
      </c>
      <c r="G960">
        <v>362</v>
      </c>
      <c r="H960">
        <v>1086</v>
      </c>
    </row>
    <row r="961" spans="1:8" x14ac:dyDescent="0.25">
      <c r="A961" t="s">
        <v>516</v>
      </c>
      <c r="B961" s="1">
        <v>45200</v>
      </c>
      <c r="C961" t="s">
        <v>173</v>
      </c>
      <c r="D961" t="s">
        <v>17</v>
      </c>
      <c r="E961" t="s">
        <v>11</v>
      </c>
      <c r="F961">
        <v>3</v>
      </c>
      <c r="G961">
        <v>362</v>
      </c>
      <c r="H961">
        <v>1086</v>
      </c>
    </row>
    <row r="962" spans="1:8" x14ac:dyDescent="0.25">
      <c r="A962" t="s">
        <v>1801</v>
      </c>
      <c r="B962" s="1">
        <v>45098</v>
      </c>
      <c r="C962" t="s">
        <v>820</v>
      </c>
      <c r="D962" t="s">
        <v>27</v>
      </c>
      <c r="E962" t="s">
        <v>35</v>
      </c>
      <c r="F962">
        <v>1</v>
      </c>
      <c r="G962">
        <v>1081</v>
      </c>
      <c r="H962">
        <v>1081</v>
      </c>
    </row>
    <row r="963" spans="1:8" x14ac:dyDescent="0.25">
      <c r="A963" t="s">
        <v>107</v>
      </c>
      <c r="B963" s="1">
        <v>45193</v>
      </c>
      <c r="C963" t="s">
        <v>88</v>
      </c>
      <c r="D963" t="s">
        <v>10</v>
      </c>
      <c r="E963" t="s">
        <v>25</v>
      </c>
      <c r="F963">
        <v>2</v>
      </c>
      <c r="G963">
        <v>540</v>
      </c>
      <c r="H963">
        <v>1080</v>
      </c>
    </row>
    <row r="964" spans="1:8" x14ac:dyDescent="0.25">
      <c r="A964" t="s">
        <v>325</v>
      </c>
      <c r="B964" s="1">
        <v>45455</v>
      </c>
      <c r="C964" t="s">
        <v>326</v>
      </c>
      <c r="D964" t="s">
        <v>27</v>
      </c>
      <c r="E964" t="s">
        <v>35</v>
      </c>
      <c r="F964">
        <v>1</v>
      </c>
      <c r="G964">
        <v>1080</v>
      </c>
      <c r="H964">
        <v>1080</v>
      </c>
    </row>
    <row r="965" spans="1:8" x14ac:dyDescent="0.25">
      <c r="A965" t="s">
        <v>1338</v>
      </c>
      <c r="B965" s="1">
        <v>45283</v>
      </c>
      <c r="C965" t="s">
        <v>246</v>
      </c>
      <c r="D965" t="s">
        <v>10</v>
      </c>
      <c r="E965" t="s">
        <v>25</v>
      </c>
      <c r="F965">
        <v>4</v>
      </c>
      <c r="G965">
        <v>270</v>
      </c>
      <c r="H965">
        <v>1080</v>
      </c>
    </row>
    <row r="966" spans="1:8" x14ac:dyDescent="0.25">
      <c r="A966" t="s">
        <v>972</v>
      </c>
      <c r="B966" s="1">
        <v>45347</v>
      </c>
      <c r="C966" t="s">
        <v>973</v>
      </c>
      <c r="D966" t="s">
        <v>27</v>
      </c>
      <c r="E966" t="s">
        <v>14</v>
      </c>
      <c r="F966">
        <v>3</v>
      </c>
      <c r="G966">
        <v>357</v>
      </c>
      <c r="H966">
        <v>1071</v>
      </c>
    </row>
    <row r="967" spans="1:8" x14ac:dyDescent="0.25">
      <c r="A967" t="s">
        <v>1024</v>
      </c>
      <c r="B967" s="1">
        <v>45186</v>
      </c>
      <c r="C967" t="s">
        <v>444</v>
      </c>
      <c r="D967" t="s">
        <v>10</v>
      </c>
      <c r="E967" t="s">
        <v>25</v>
      </c>
      <c r="F967">
        <v>3</v>
      </c>
      <c r="G967">
        <v>357</v>
      </c>
      <c r="H967">
        <v>1071</v>
      </c>
    </row>
    <row r="968" spans="1:8" x14ac:dyDescent="0.25">
      <c r="A968" t="s">
        <v>1008</v>
      </c>
      <c r="B968" s="1">
        <v>45138</v>
      </c>
      <c r="C968" t="s">
        <v>67</v>
      </c>
      <c r="D968" t="s">
        <v>17</v>
      </c>
      <c r="E968" t="s">
        <v>11</v>
      </c>
      <c r="F968">
        <v>2</v>
      </c>
      <c r="G968">
        <v>535</v>
      </c>
      <c r="H968">
        <v>1070</v>
      </c>
    </row>
    <row r="969" spans="1:8" x14ac:dyDescent="0.25">
      <c r="A969" t="s">
        <v>1805</v>
      </c>
      <c r="B969" s="1">
        <v>44949</v>
      </c>
      <c r="C969" t="s">
        <v>189</v>
      </c>
      <c r="D969" t="s">
        <v>20</v>
      </c>
      <c r="E969" t="s">
        <v>35</v>
      </c>
      <c r="F969">
        <v>1</v>
      </c>
      <c r="G969">
        <v>1070</v>
      </c>
      <c r="H969">
        <v>1070</v>
      </c>
    </row>
    <row r="970" spans="1:8" x14ac:dyDescent="0.25">
      <c r="A970" t="s">
        <v>953</v>
      </c>
      <c r="B970" s="1">
        <v>45099</v>
      </c>
      <c r="C970" t="s">
        <v>527</v>
      </c>
      <c r="D970" t="s">
        <v>10</v>
      </c>
      <c r="E970" t="s">
        <v>32</v>
      </c>
      <c r="F970">
        <v>1</v>
      </c>
      <c r="G970">
        <v>1067</v>
      </c>
      <c r="H970">
        <v>1067</v>
      </c>
    </row>
    <row r="971" spans="1:8" x14ac:dyDescent="0.25">
      <c r="A971" t="s">
        <v>1811</v>
      </c>
      <c r="B971" s="1">
        <v>44988</v>
      </c>
      <c r="C971" t="s">
        <v>206</v>
      </c>
      <c r="D971" t="s">
        <v>27</v>
      </c>
      <c r="E971" t="s">
        <v>35</v>
      </c>
      <c r="F971">
        <v>1</v>
      </c>
      <c r="G971">
        <v>1067</v>
      </c>
      <c r="H971">
        <v>1067</v>
      </c>
    </row>
    <row r="972" spans="1:8" x14ac:dyDescent="0.25">
      <c r="A972" t="s">
        <v>462</v>
      </c>
      <c r="B972" s="1">
        <v>45077</v>
      </c>
      <c r="C972" t="s">
        <v>463</v>
      </c>
      <c r="D972" t="s">
        <v>17</v>
      </c>
      <c r="E972" t="s">
        <v>11</v>
      </c>
      <c r="F972">
        <v>2</v>
      </c>
      <c r="G972">
        <v>531</v>
      </c>
      <c r="H972">
        <v>1062</v>
      </c>
    </row>
    <row r="973" spans="1:8" x14ac:dyDescent="0.25">
      <c r="A973" t="s">
        <v>501</v>
      </c>
      <c r="B973" s="1">
        <v>45144</v>
      </c>
      <c r="C973" t="s">
        <v>459</v>
      </c>
      <c r="D973" t="s">
        <v>20</v>
      </c>
      <c r="E973" t="s">
        <v>14</v>
      </c>
      <c r="F973">
        <v>3</v>
      </c>
      <c r="G973">
        <v>354</v>
      </c>
      <c r="H973">
        <v>1062</v>
      </c>
    </row>
    <row r="974" spans="1:8" x14ac:dyDescent="0.25">
      <c r="A974" t="s">
        <v>497</v>
      </c>
      <c r="B974" s="1">
        <v>45035</v>
      </c>
      <c r="C974" t="s">
        <v>130</v>
      </c>
      <c r="D974" t="s">
        <v>20</v>
      </c>
      <c r="E974" t="s">
        <v>32</v>
      </c>
      <c r="F974">
        <v>1</v>
      </c>
      <c r="G974">
        <v>1061</v>
      </c>
      <c r="H974">
        <v>1061</v>
      </c>
    </row>
    <row r="975" spans="1:8" x14ac:dyDescent="0.25">
      <c r="A975" t="s">
        <v>1285</v>
      </c>
      <c r="B975" s="1">
        <v>45438</v>
      </c>
      <c r="C975" t="s">
        <v>652</v>
      </c>
      <c r="D975" t="s">
        <v>27</v>
      </c>
      <c r="E975" t="s">
        <v>35</v>
      </c>
      <c r="F975">
        <v>5</v>
      </c>
      <c r="G975">
        <v>212</v>
      </c>
      <c r="H975">
        <v>1060</v>
      </c>
    </row>
    <row r="976" spans="1:8" x14ac:dyDescent="0.25">
      <c r="A976" t="s">
        <v>1047</v>
      </c>
      <c r="B976" s="1">
        <v>45119</v>
      </c>
      <c r="C976" t="s">
        <v>59</v>
      </c>
      <c r="D976" t="s">
        <v>27</v>
      </c>
      <c r="E976" t="s">
        <v>11</v>
      </c>
      <c r="F976">
        <v>1</v>
      </c>
      <c r="G976">
        <v>1057</v>
      </c>
      <c r="H976">
        <v>1057</v>
      </c>
    </row>
    <row r="977" spans="1:8" x14ac:dyDescent="0.25">
      <c r="A977" t="s">
        <v>1799</v>
      </c>
      <c r="B977" s="1">
        <v>45217</v>
      </c>
      <c r="C977" t="s">
        <v>429</v>
      </c>
      <c r="D977" t="s">
        <v>27</v>
      </c>
      <c r="E977" t="s">
        <v>32</v>
      </c>
      <c r="F977">
        <v>2</v>
      </c>
      <c r="G977">
        <v>528</v>
      </c>
      <c r="H977">
        <v>1056</v>
      </c>
    </row>
    <row r="978" spans="1:8" x14ac:dyDescent="0.25">
      <c r="A978" t="s">
        <v>469</v>
      </c>
      <c r="B978" s="1">
        <v>44950</v>
      </c>
      <c r="C978" t="s">
        <v>348</v>
      </c>
      <c r="D978" t="s">
        <v>17</v>
      </c>
      <c r="E978" t="s">
        <v>32</v>
      </c>
      <c r="F978">
        <v>2</v>
      </c>
      <c r="G978">
        <v>527</v>
      </c>
      <c r="H978">
        <v>1054</v>
      </c>
    </row>
    <row r="979" spans="1:8" x14ac:dyDescent="0.25">
      <c r="A979" t="s">
        <v>1259</v>
      </c>
      <c r="B979" s="1">
        <v>45565</v>
      </c>
      <c r="C979" t="s">
        <v>194</v>
      </c>
      <c r="D979" t="s">
        <v>20</v>
      </c>
      <c r="E979" t="s">
        <v>35</v>
      </c>
      <c r="F979">
        <v>1</v>
      </c>
      <c r="G979">
        <v>1053</v>
      </c>
      <c r="H979">
        <v>1053</v>
      </c>
    </row>
    <row r="980" spans="1:8" x14ac:dyDescent="0.25">
      <c r="A980" t="s">
        <v>564</v>
      </c>
      <c r="B980" s="1">
        <v>45580</v>
      </c>
      <c r="C980" t="s">
        <v>19</v>
      </c>
      <c r="D980" t="s">
        <v>27</v>
      </c>
      <c r="E980" t="s">
        <v>11</v>
      </c>
      <c r="F980">
        <v>4</v>
      </c>
      <c r="G980">
        <v>263</v>
      </c>
      <c r="H980">
        <v>1052</v>
      </c>
    </row>
    <row r="981" spans="1:8" x14ac:dyDescent="0.25">
      <c r="A981" t="s">
        <v>631</v>
      </c>
      <c r="B981" s="1">
        <v>44927</v>
      </c>
      <c r="C981" t="s">
        <v>13</v>
      </c>
      <c r="D981" t="s">
        <v>20</v>
      </c>
      <c r="E981" t="s">
        <v>25</v>
      </c>
      <c r="F981">
        <v>1</v>
      </c>
      <c r="G981">
        <v>1052</v>
      </c>
      <c r="H981">
        <v>1052</v>
      </c>
    </row>
    <row r="982" spans="1:8" x14ac:dyDescent="0.25">
      <c r="A982" t="s">
        <v>1329</v>
      </c>
      <c r="B982" s="1">
        <v>45360</v>
      </c>
      <c r="C982" t="s">
        <v>266</v>
      </c>
      <c r="D982" t="s">
        <v>27</v>
      </c>
      <c r="E982" t="s">
        <v>25</v>
      </c>
      <c r="F982">
        <v>4</v>
      </c>
      <c r="G982">
        <v>263</v>
      </c>
      <c r="H982">
        <v>1052</v>
      </c>
    </row>
    <row r="983" spans="1:8" x14ac:dyDescent="0.25">
      <c r="A983" t="s">
        <v>1314</v>
      </c>
      <c r="B983" s="1">
        <v>45495</v>
      </c>
      <c r="C983" t="s">
        <v>109</v>
      </c>
      <c r="D983" t="s">
        <v>10</v>
      </c>
      <c r="E983" t="s">
        <v>32</v>
      </c>
      <c r="F983">
        <v>5</v>
      </c>
      <c r="G983">
        <v>210</v>
      </c>
      <c r="H983">
        <v>1050</v>
      </c>
    </row>
    <row r="984" spans="1:8" x14ac:dyDescent="0.25">
      <c r="A984" t="s">
        <v>1556</v>
      </c>
      <c r="B984" s="1">
        <v>44943</v>
      </c>
      <c r="C984" t="s">
        <v>238</v>
      </c>
      <c r="D984" t="s">
        <v>10</v>
      </c>
      <c r="E984" t="s">
        <v>25</v>
      </c>
      <c r="F984">
        <v>3</v>
      </c>
      <c r="G984">
        <v>349</v>
      </c>
      <c r="H984">
        <v>1047</v>
      </c>
    </row>
    <row r="985" spans="1:8" x14ac:dyDescent="0.25">
      <c r="A985" t="s">
        <v>920</v>
      </c>
      <c r="B985" s="1">
        <v>45261</v>
      </c>
      <c r="C985" t="s">
        <v>148</v>
      </c>
      <c r="D985" t="s">
        <v>10</v>
      </c>
      <c r="E985" t="s">
        <v>25</v>
      </c>
      <c r="F985">
        <v>2</v>
      </c>
      <c r="G985">
        <v>523</v>
      </c>
      <c r="H985">
        <v>1046</v>
      </c>
    </row>
    <row r="986" spans="1:8" x14ac:dyDescent="0.25">
      <c r="A986" t="s">
        <v>1436</v>
      </c>
      <c r="B986" s="1">
        <v>45205</v>
      </c>
      <c r="C986" t="s">
        <v>570</v>
      </c>
      <c r="D986" t="s">
        <v>17</v>
      </c>
      <c r="E986" t="s">
        <v>32</v>
      </c>
      <c r="F986">
        <v>2</v>
      </c>
      <c r="G986">
        <v>523</v>
      </c>
      <c r="H986">
        <v>1046</v>
      </c>
    </row>
    <row r="987" spans="1:8" x14ac:dyDescent="0.25">
      <c r="A987" t="s">
        <v>1098</v>
      </c>
      <c r="B987" s="1">
        <v>45498</v>
      </c>
      <c r="C987" t="s">
        <v>246</v>
      </c>
      <c r="D987" t="s">
        <v>10</v>
      </c>
      <c r="E987" t="s">
        <v>11</v>
      </c>
      <c r="F987">
        <v>3</v>
      </c>
      <c r="G987">
        <v>348</v>
      </c>
      <c r="H987">
        <v>1044</v>
      </c>
    </row>
    <row r="988" spans="1:8" x14ac:dyDescent="0.25">
      <c r="A988" t="s">
        <v>1334</v>
      </c>
      <c r="B988" s="1">
        <v>44930</v>
      </c>
      <c r="C988" t="s">
        <v>938</v>
      </c>
      <c r="D988" t="s">
        <v>10</v>
      </c>
      <c r="E988" t="s">
        <v>32</v>
      </c>
      <c r="F988">
        <v>3</v>
      </c>
      <c r="G988">
        <v>348</v>
      </c>
      <c r="H988">
        <v>1044</v>
      </c>
    </row>
    <row r="989" spans="1:8" x14ac:dyDescent="0.25">
      <c r="A989" t="s">
        <v>1638</v>
      </c>
      <c r="B989" s="1">
        <v>45161</v>
      </c>
      <c r="C989" t="s">
        <v>480</v>
      </c>
      <c r="D989" t="s">
        <v>10</v>
      </c>
      <c r="E989" t="s">
        <v>25</v>
      </c>
      <c r="F989">
        <v>2</v>
      </c>
      <c r="G989">
        <v>522</v>
      </c>
      <c r="H989">
        <v>1044</v>
      </c>
    </row>
    <row r="990" spans="1:8" x14ac:dyDescent="0.25">
      <c r="A990" t="s">
        <v>809</v>
      </c>
      <c r="B990" s="1">
        <v>45457</v>
      </c>
      <c r="C990" t="s">
        <v>769</v>
      </c>
      <c r="D990" t="s">
        <v>27</v>
      </c>
      <c r="E990" t="s">
        <v>25</v>
      </c>
      <c r="F990">
        <v>1</v>
      </c>
      <c r="G990">
        <v>1043</v>
      </c>
      <c r="H990">
        <v>1043</v>
      </c>
    </row>
    <row r="991" spans="1:8" x14ac:dyDescent="0.25">
      <c r="A991" t="s">
        <v>1680</v>
      </c>
      <c r="B991" s="1">
        <v>45615</v>
      </c>
      <c r="C991" t="s">
        <v>350</v>
      </c>
      <c r="D991" t="s">
        <v>20</v>
      </c>
      <c r="E991" t="s">
        <v>35</v>
      </c>
      <c r="F991">
        <v>1</v>
      </c>
      <c r="G991">
        <v>1041</v>
      </c>
      <c r="H991">
        <v>1041</v>
      </c>
    </row>
    <row r="992" spans="1:8" x14ac:dyDescent="0.25">
      <c r="A992" t="s">
        <v>257</v>
      </c>
      <c r="B992" s="1">
        <v>45130</v>
      </c>
      <c r="C992" t="s">
        <v>258</v>
      </c>
      <c r="D992" t="s">
        <v>27</v>
      </c>
      <c r="E992" t="s">
        <v>32</v>
      </c>
      <c r="F992">
        <v>5</v>
      </c>
      <c r="G992">
        <v>208</v>
      </c>
      <c r="H992">
        <v>1040</v>
      </c>
    </row>
    <row r="993" spans="1:8" x14ac:dyDescent="0.25">
      <c r="A993" t="s">
        <v>1733</v>
      </c>
      <c r="B993" s="1">
        <v>45165</v>
      </c>
      <c r="C993" t="s">
        <v>618</v>
      </c>
      <c r="D993" t="s">
        <v>10</v>
      </c>
      <c r="E993" t="s">
        <v>11</v>
      </c>
      <c r="F993">
        <v>5</v>
      </c>
      <c r="G993">
        <v>208</v>
      </c>
      <c r="H993">
        <v>1040</v>
      </c>
    </row>
    <row r="994" spans="1:8" x14ac:dyDescent="0.25">
      <c r="A994" t="s">
        <v>1434</v>
      </c>
      <c r="B994" s="1">
        <v>45577</v>
      </c>
      <c r="C994" t="s">
        <v>435</v>
      </c>
      <c r="D994" t="s">
        <v>20</v>
      </c>
      <c r="E994" t="s">
        <v>35</v>
      </c>
      <c r="F994">
        <v>1</v>
      </c>
      <c r="G994">
        <v>1039</v>
      </c>
      <c r="H994">
        <v>1039</v>
      </c>
    </row>
    <row r="995" spans="1:8" x14ac:dyDescent="0.25">
      <c r="A995" t="s">
        <v>379</v>
      </c>
      <c r="B995" s="1">
        <v>45415</v>
      </c>
      <c r="C995" t="s">
        <v>380</v>
      </c>
      <c r="D995" t="s">
        <v>10</v>
      </c>
      <c r="E995" t="s">
        <v>11</v>
      </c>
      <c r="F995">
        <v>5</v>
      </c>
      <c r="G995">
        <v>207</v>
      </c>
      <c r="H995">
        <v>1035</v>
      </c>
    </row>
    <row r="996" spans="1:8" x14ac:dyDescent="0.25">
      <c r="A996" t="s">
        <v>1747</v>
      </c>
      <c r="B996" s="1">
        <v>45587</v>
      </c>
      <c r="C996" t="s">
        <v>1637</v>
      </c>
      <c r="D996" t="s">
        <v>17</v>
      </c>
      <c r="E996" t="s">
        <v>11</v>
      </c>
      <c r="F996">
        <v>2</v>
      </c>
      <c r="G996">
        <v>517</v>
      </c>
      <c r="H996">
        <v>1034</v>
      </c>
    </row>
    <row r="997" spans="1:8" x14ac:dyDescent="0.25">
      <c r="A997" t="s">
        <v>794</v>
      </c>
      <c r="B997" s="1">
        <v>45260</v>
      </c>
      <c r="C997" t="s">
        <v>795</v>
      </c>
      <c r="D997" t="s">
        <v>20</v>
      </c>
      <c r="E997" t="s">
        <v>32</v>
      </c>
      <c r="F997">
        <v>1</v>
      </c>
      <c r="G997">
        <v>1032</v>
      </c>
      <c r="H997">
        <v>1032</v>
      </c>
    </row>
    <row r="998" spans="1:8" x14ac:dyDescent="0.25">
      <c r="A998" t="s">
        <v>1420</v>
      </c>
      <c r="B998" s="1">
        <v>45150</v>
      </c>
      <c r="C998" t="s">
        <v>322</v>
      </c>
      <c r="D998" t="s">
        <v>10</v>
      </c>
      <c r="E998" t="s">
        <v>32</v>
      </c>
      <c r="F998">
        <v>4</v>
      </c>
      <c r="G998">
        <v>258</v>
      </c>
      <c r="H998">
        <v>1032</v>
      </c>
    </row>
    <row r="999" spans="1:8" x14ac:dyDescent="0.25">
      <c r="A999" t="s">
        <v>1792</v>
      </c>
      <c r="B999" s="1">
        <v>45157</v>
      </c>
      <c r="C999" t="s">
        <v>836</v>
      </c>
      <c r="D999" t="s">
        <v>27</v>
      </c>
      <c r="E999" t="s">
        <v>25</v>
      </c>
      <c r="F999">
        <v>3</v>
      </c>
      <c r="G999">
        <v>344</v>
      </c>
      <c r="H999">
        <v>1032</v>
      </c>
    </row>
    <row r="1000" spans="1:8" x14ac:dyDescent="0.25">
      <c r="A1000" t="s">
        <v>1525</v>
      </c>
      <c r="B1000" s="1">
        <v>45625</v>
      </c>
      <c r="C1000" t="s">
        <v>494</v>
      </c>
      <c r="D1000" t="s">
        <v>17</v>
      </c>
      <c r="E1000" t="s">
        <v>25</v>
      </c>
      <c r="F1000">
        <v>1</v>
      </c>
      <c r="G1000">
        <v>1031</v>
      </c>
      <c r="H1000">
        <v>1031</v>
      </c>
    </row>
    <row r="1001" spans="1:8" x14ac:dyDescent="0.25">
      <c r="A1001" t="s">
        <v>222</v>
      </c>
      <c r="B1001" s="1">
        <v>45192</v>
      </c>
      <c r="C1001" t="s">
        <v>223</v>
      </c>
      <c r="D1001" t="s">
        <v>10</v>
      </c>
      <c r="E1001" t="s">
        <v>32</v>
      </c>
      <c r="F1001">
        <v>1</v>
      </c>
      <c r="G1001">
        <v>1030</v>
      </c>
      <c r="H1001">
        <v>1030</v>
      </c>
    </row>
    <row r="1002" spans="1:8" x14ac:dyDescent="0.25">
      <c r="A1002" t="s">
        <v>1607</v>
      </c>
      <c r="B1002" s="1">
        <v>45183</v>
      </c>
      <c r="C1002" t="s">
        <v>473</v>
      </c>
      <c r="D1002" t="s">
        <v>17</v>
      </c>
      <c r="E1002" t="s">
        <v>14</v>
      </c>
      <c r="F1002">
        <v>3</v>
      </c>
      <c r="G1002">
        <v>343</v>
      </c>
      <c r="H1002">
        <v>1029</v>
      </c>
    </row>
    <row r="1003" spans="1:8" x14ac:dyDescent="0.25">
      <c r="A1003" t="s">
        <v>1313</v>
      </c>
      <c r="B1003" s="1">
        <v>45116</v>
      </c>
      <c r="C1003" t="s">
        <v>185</v>
      </c>
      <c r="D1003" t="s">
        <v>10</v>
      </c>
      <c r="E1003" t="s">
        <v>14</v>
      </c>
      <c r="F1003">
        <v>2</v>
      </c>
      <c r="G1003">
        <v>514</v>
      </c>
      <c r="H1003">
        <v>1028</v>
      </c>
    </row>
    <row r="1004" spans="1:8" x14ac:dyDescent="0.25">
      <c r="A1004" t="s">
        <v>1494</v>
      </c>
      <c r="B1004" s="1">
        <v>45106</v>
      </c>
      <c r="C1004" t="s">
        <v>927</v>
      </c>
      <c r="D1004" t="s">
        <v>10</v>
      </c>
      <c r="E1004" t="s">
        <v>25</v>
      </c>
      <c r="F1004">
        <v>2</v>
      </c>
      <c r="G1004">
        <v>514</v>
      </c>
      <c r="H1004">
        <v>1028</v>
      </c>
    </row>
    <row r="1005" spans="1:8" x14ac:dyDescent="0.25">
      <c r="A1005" t="s">
        <v>592</v>
      </c>
      <c r="B1005" s="1">
        <v>45400</v>
      </c>
      <c r="C1005" t="s">
        <v>477</v>
      </c>
      <c r="D1005" t="s">
        <v>27</v>
      </c>
      <c r="E1005" t="s">
        <v>35</v>
      </c>
      <c r="F1005">
        <v>3</v>
      </c>
      <c r="G1005">
        <v>342</v>
      </c>
      <c r="H1005">
        <v>1026</v>
      </c>
    </row>
    <row r="1006" spans="1:8" x14ac:dyDescent="0.25">
      <c r="A1006" t="s">
        <v>1018</v>
      </c>
      <c r="B1006" s="1">
        <v>44977</v>
      </c>
      <c r="C1006" t="s">
        <v>100</v>
      </c>
      <c r="D1006" t="s">
        <v>20</v>
      </c>
      <c r="E1006" t="s">
        <v>14</v>
      </c>
      <c r="F1006">
        <v>1</v>
      </c>
      <c r="G1006">
        <v>1023</v>
      </c>
      <c r="H1006">
        <v>1023</v>
      </c>
    </row>
    <row r="1007" spans="1:8" x14ac:dyDescent="0.25">
      <c r="A1007" t="s">
        <v>91</v>
      </c>
      <c r="B1007" s="1">
        <v>45464</v>
      </c>
      <c r="C1007" t="s">
        <v>92</v>
      </c>
      <c r="D1007" t="s">
        <v>20</v>
      </c>
      <c r="E1007" t="s">
        <v>32</v>
      </c>
      <c r="F1007">
        <v>2</v>
      </c>
      <c r="G1007">
        <v>511</v>
      </c>
      <c r="H1007">
        <v>1022</v>
      </c>
    </row>
    <row r="1008" spans="1:8" x14ac:dyDescent="0.25">
      <c r="A1008" t="s">
        <v>1473</v>
      </c>
      <c r="B1008" s="1">
        <v>45449</v>
      </c>
      <c r="C1008" t="s">
        <v>123</v>
      </c>
      <c r="D1008" t="s">
        <v>17</v>
      </c>
      <c r="E1008" t="s">
        <v>35</v>
      </c>
      <c r="F1008">
        <v>1</v>
      </c>
      <c r="G1008">
        <v>1020</v>
      </c>
      <c r="H1008">
        <v>1020</v>
      </c>
    </row>
    <row r="1009" spans="1:8" x14ac:dyDescent="0.25">
      <c r="A1009" t="s">
        <v>748</v>
      </c>
      <c r="B1009" s="1">
        <v>45508</v>
      </c>
      <c r="C1009" t="s">
        <v>425</v>
      </c>
      <c r="D1009" t="s">
        <v>20</v>
      </c>
      <c r="E1009" t="s">
        <v>25</v>
      </c>
      <c r="F1009">
        <v>1</v>
      </c>
      <c r="G1009">
        <v>1019</v>
      </c>
      <c r="H1009">
        <v>1019</v>
      </c>
    </row>
    <row r="1010" spans="1:8" x14ac:dyDescent="0.25">
      <c r="A1010" t="s">
        <v>591</v>
      </c>
      <c r="B1010" s="1">
        <v>45300</v>
      </c>
      <c r="C1010" t="s">
        <v>234</v>
      </c>
      <c r="D1010" t="s">
        <v>27</v>
      </c>
      <c r="E1010" t="s">
        <v>11</v>
      </c>
      <c r="F1010">
        <v>1</v>
      </c>
      <c r="G1010">
        <v>1017</v>
      </c>
      <c r="H1010">
        <v>1017</v>
      </c>
    </row>
    <row r="1011" spans="1:8" x14ac:dyDescent="0.25">
      <c r="A1011" t="s">
        <v>787</v>
      </c>
      <c r="B1011" s="1">
        <v>44950</v>
      </c>
      <c r="C1011" t="s">
        <v>490</v>
      </c>
      <c r="D1011" t="s">
        <v>27</v>
      </c>
      <c r="E1011" t="s">
        <v>25</v>
      </c>
      <c r="F1011">
        <v>1</v>
      </c>
      <c r="G1011">
        <v>1016</v>
      </c>
      <c r="H1011">
        <v>1016</v>
      </c>
    </row>
    <row r="1012" spans="1:8" x14ac:dyDescent="0.25">
      <c r="A1012" t="s">
        <v>1461</v>
      </c>
      <c r="B1012" s="1">
        <v>45128</v>
      </c>
      <c r="C1012" t="s">
        <v>272</v>
      </c>
      <c r="D1012" t="s">
        <v>20</v>
      </c>
      <c r="E1012" t="s">
        <v>35</v>
      </c>
      <c r="F1012">
        <v>1</v>
      </c>
      <c r="G1012">
        <v>1015</v>
      </c>
      <c r="H1012">
        <v>1015</v>
      </c>
    </row>
    <row r="1013" spans="1:8" x14ac:dyDescent="0.25">
      <c r="A1013" t="s">
        <v>951</v>
      </c>
      <c r="B1013" s="1">
        <v>45065</v>
      </c>
      <c r="C1013" t="s">
        <v>644</v>
      </c>
      <c r="D1013" t="s">
        <v>27</v>
      </c>
      <c r="E1013" t="s">
        <v>25</v>
      </c>
      <c r="F1013">
        <v>2</v>
      </c>
      <c r="G1013">
        <v>506</v>
      </c>
      <c r="H1013">
        <v>1012</v>
      </c>
    </row>
    <row r="1014" spans="1:8" x14ac:dyDescent="0.25">
      <c r="A1014" t="s">
        <v>1257</v>
      </c>
      <c r="B1014" s="1">
        <v>45318</v>
      </c>
      <c r="C1014" t="s">
        <v>111</v>
      </c>
      <c r="D1014" t="s">
        <v>10</v>
      </c>
      <c r="E1014" t="s">
        <v>14</v>
      </c>
      <c r="F1014">
        <v>2</v>
      </c>
      <c r="G1014">
        <v>505</v>
      </c>
      <c r="H1014">
        <v>1010</v>
      </c>
    </row>
    <row r="1015" spans="1:8" x14ac:dyDescent="0.25">
      <c r="A1015" t="s">
        <v>1255</v>
      </c>
      <c r="B1015" s="1">
        <v>44930</v>
      </c>
      <c r="C1015" t="s">
        <v>551</v>
      </c>
      <c r="D1015" t="s">
        <v>10</v>
      </c>
      <c r="E1015" t="s">
        <v>14</v>
      </c>
      <c r="F1015">
        <v>4</v>
      </c>
      <c r="G1015">
        <v>252</v>
      </c>
      <c r="H1015">
        <v>1008</v>
      </c>
    </row>
    <row r="1016" spans="1:8" x14ac:dyDescent="0.25">
      <c r="A1016" t="s">
        <v>1078</v>
      </c>
      <c r="B1016" s="1">
        <v>45286</v>
      </c>
      <c r="C1016" t="s">
        <v>315</v>
      </c>
      <c r="D1016" t="s">
        <v>27</v>
      </c>
      <c r="E1016" t="s">
        <v>14</v>
      </c>
      <c r="F1016">
        <v>1</v>
      </c>
      <c r="G1016">
        <v>1005</v>
      </c>
      <c r="H1016">
        <v>1005</v>
      </c>
    </row>
    <row r="1017" spans="1:8" x14ac:dyDescent="0.25">
      <c r="A1017" t="s">
        <v>1041</v>
      </c>
      <c r="B1017" s="1">
        <v>45077</v>
      </c>
      <c r="C1017" t="s">
        <v>371</v>
      </c>
      <c r="D1017" t="s">
        <v>20</v>
      </c>
      <c r="E1017" t="s">
        <v>14</v>
      </c>
      <c r="F1017">
        <v>1</v>
      </c>
      <c r="G1017">
        <v>998</v>
      </c>
      <c r="H1017">
        <v>998</v>
      </c>
    </row>
    <row r="1018" spans="1:8" x14ac:dyDescent="0.25">
      <c r="A1018" t="s">
        <v>1456</v>
      </c>
      <c r="B1018" s="1">
        <v>44950</v>
      </c>
      <c r="C1018" t="s">
        <v>121</v>
      </c>
      <c r="D1018" t="s">
        <v>27</v>
      </c>
      <c r="E1018" t="s">
        <v>25</v>
      </c>
      <c r="F1018">
        <v>2</v>
      </c>
      <c r="G1018">
        <v>497</v>
      </c>
      <c r="H1018">
        <v>994</v>
      </c>
    </row>
    <row r="1019" spans="1:8" x14ac:dyDescent="0.25">
      <c r="A1019" t="s">
        <v>1524</v>
      </c>
      <c r="B1019" s="1">
        <v>45193</v>
      </c>
      <c r="C1019" t="s">
        <v>551</v>
      </c>
      <c r="D1019" t="s">
        <v>10</v>
      </c>
      <c r="E1019" t="s">
        <v>32</v>
      </c>
      <c r="F1019">
        <v>3</v>
      </c>
      <c r="G1019">
        <v>331</v>
      </c>
      <c r="H1019">
        <v>993</v>
      </c>
    </row>
    <row r="1020" spans="1:8" x14ac:dyDescent="0.25">
      <c r="A1020" t="s">
        <v>1279</v>
      </c>
      <c r="B1020" s="1">
        <v>45469</v>
      </c>
      <c r="C1020" t="s">
        <v>761</v>
      </c>
      <c r="D1020" t="s">
        <v>27</v>
      </c>
      <c r="E1020" t="s">
        <v>32</v>
      </c>
      <c r="F1020">
        <v>1</v>
      </c>
      <c r="G1020">
        <v>992</v>
      </c>
      <c r="H1020">
        <v>992</v>
      </c>
    </row>
    <row r="1021" spans="1:8" x14ac:dyDescent="0.25">
      <c r="A1021" t="s">
        <v>1578</v>
      </c>
      <c r="B1021" s="1">
        <v>45168</v>
      </c>
      <c r="C1021" t="s">
        <v>76</v>
      </c>
      <c r="D1021" t="s">
        <v>20</v>
      </c>
      <c r="E1021" t="s">
        <v>35</v>
      </c>
      <c r="F1021">
        <v>4</v>
      </c>
      <c r="G1021">
        <v>248</v>
      </c>
      <c r="H1021">
        <v>992</v>
      </c>
    </row>
    <row r="1022" spans="1:8" x14ac:dyDescent="0.25">
      <c r="A1022" t="s">
        <v>653</v>
      </c>
      <c r="B1022" s="1">
        <v>45505</v>
      </c>
      <c r="C1022" t="s">
        <v>177</v>
      </c>
      <c r="D1022" t="s">
        <v>27</v>
      </c>
      <c r="E1022" t="s">
        <v>25</v>
      </c>
      <c r="F1022">
        <v>2</v>
      </c>
      <c r="G1022">
        <v>494</v>
      </c>
      <c r="H1022">
        <v>988</v>
      </c>
    </row>
    <row r="1023" spans="1:8" x14ac:dyDescent="0.25">
      <c r="A1023" t="s">
        <v>1361</v>
      </c>
      <c r="B1023" s="1">
        <v>45396</v>
      </c>
      <c r="C1023" t="s">
        <v>663</v>
      </c>
      <c r="D1023" t="s">
        <v>20</v>
      </c>
      <c r="E1023" t="s">
        <v>11</v>
      </c>
      <c r="F1023">
        <v>2</v>
      </c>
      <c r="G1023">
        <v>494</v>
      </c>
      <c r="H1023">
        <v>988</v>
      </c>
    </row>
    <row r="1024" spans="1:8" x14ac:dyDescent="0.25">
      <c r="A1024" t="s">
        <v>1582</v>
      </c>
      <c r="B1024" s="1">
        <v>45273</v>
      </c>
      <c r="C1024" t="s">
        <v>594</v>
      </c>
      <c r="D1024" t="s">
        <v>17</v>
      </c>
      <c r="E1024" t="s">
        <v>25</v>
      </c>
      <c r="F1024">
        <v>3</v>
      </c>
      <c r="G1024">
        <v>329</v>
      </c>
      <c r="H1024">
        <v>987</v>
      </c>
    </row>
    <row r="1025" spans="1:8" x14ac:dyDescent="0.25">
      <c r="A1025" t="s">
        <v>399</v>
      </c>
      <c r="B1025" s="1">
        <v>45326</v>
      </c>
      <c r="C1025" t="s">
        <v>169</v>
      </c>
      <c r="D1025" t="s">
        <v>27</v>
      </c>
      <c r="E1025" t="s">
        <v>32</v>
      </c>
      <c r="F1025">
        <v>1</v>
      </c>
      <c r="G1025">
        <v>986</v>
      </c>
      <c r="H1025">
        <v>986</v>
      </c>
    </row>
    <row r="1026" spans="1:8" x14ac:dyDescent="0.25">
      <c r="A1026" t="s">
        <v>1503</v>
      </c>
      <c r="B1026" s="1">
        <v>45295</v>
      </c>
      <c r="C1026" t="s">
        <v>973</v>
      </c>
      <c r="D1026" t="s">
        <v>20</v>
      </c>
      <c r="E1026" t="s">
        <v>35</v>
      </c>
      <c r="F1026">
        <v>4</v>
      </c>
      <c r="G1026">
        <v>246</v>
      </c>
      <c r="H1026">
        <v>984</v>
      </c>
    </row>
    <row r="1027" spans="1:8" x14ac:dyDescent="0.25">
      <c r="A1027" t="s">
        <v>1735</v>
      </c>
      <c r="B1027" s="1">
        <v>45481</v>
      </c>
      <c r="C1027" t="s">
        <v>209</v>
      </c>
      <c r="D1027" t="s">
        <v>17</v>
      </c>
      <c r="E1027" t="s">
        <v>25</v>
      </c>
      <c r="F1027">
        <v>3</v>
      </c>
      <c r="G1027">
        <v>327</v>
      </c>
      <c r="H1027">
        <v>981</v>
      </c>
    </row>
    <row r="1028" spans="1:8" x14ac:dyDescent="0.25">
      <c r="A1028" t="s">
        <v>843</v>
      </c>
      <c r="B1028" s="1">
        <v>45181</v>
      </c>
      <c r="C1028" t="s">
        <v>98</v>
      </c>
      <c r="D1028" t="s">
        <v>27</v>
      </c>
      <c r="E1028" t="s">
        <v>25</v>
      </c>
      <c r="F1028">
        <v>4</v>
      </c>
      <c r="G1028">
        <v>245</v>
      </c>
      <c r="H1028">
        <v>980</v>
      </c>
    </row>
    <row r="1029" spans="1:8" x14ac:dyDescent="0.25">
      <c r="A1029" t="s">
        <v>851</v>
      </c>
      <c r="B1029" s="1">
        <v>45008</v>
      </c>
      <c r="C1029" t="s">
        <v>121</v>
      </c>
      <c r="D1029" t="s">
        <v>10</v>
      </c>
      <c r="E1029" t="s">
        <v>14</v>
      </c>
      <c r="F1029">
        <v>1</v>
      </c>
      <c r="G1029">
        <v>978</v>
      </c>
      <c r="H1029">
        <v>978</v>
      </c>
    </row>
    <row r="1030" spans="1:8" x14ac:dyDescent="0.25">
      <c r="A1030" t="s">
        <v>1555</v>
      </c>
      <c r="B1030" s="1">
        <v>45127</v>
      </c>
      <c r="C1030" t="s">
        <v>146</v>
      </c>
      <c r="D1030" t="s">
        <v>17</v>
      </c>
      <c r="E1030" t="s">
        <v>14</v>
      </c>
      <c r="F1030">
        <v>2</v>
      </c>
      <c r="G1030">
        <v>489</v>
      </c>
      <c r="H1030">
        <v>978</v>
      </c>
    </row>
    <row r="1031" spans="1:8" x14ac:dyDescent="0.25">
      <c r="A1031" t="s">
        <v>689</v>
      </c>
      <c r="B1031" s="1">
        <v>44977</v>
      </c>
      <c r="C1031" t="s">
        <v>690</v>
      </c>
      <c r="D1031" t="s">
        <v>20</v>
      </c>
      <c r="E1031" t="s">
        <v>25</v>
      </c>
      <c r="F1031">
        <v>1</v>
      </c>
      <c r="G1031">
        <v>976</v>
      </c>
      <c r="H1031">
        <v>976</v>
      </c>
    </row>
    <row r="1032" spans="1:8" x14ac:dyDescent="0.25">
      <c r="A1032" t="s">
        <v>1366</v>
      </c>
      <c r="B1032" s="1">
        <v>45262</v>
      </c>
      <c r="C1032" t="s">
        <v>328</v>
      </c>
      <c r="D1032" t="s">
        <v>10</v>
      </c>
      <c r="E1032" t="s">
        <v>35</v>
      </c>
      <c r="F1032">
        <v>3</v>
      </c>
      <c r="G1032">
        <v>325</v>
      </c>
      <c r="H1032">
        <v>975</v>
      </c>
    </row>
    <row r="1033" spans="1:8" x14ac:dyDescent="0.25">
      <c r="A1033" t="s">
        <v>970</v>
      </c>
      <c r="B1033" s="1">
        <v>45247</v>
      </c>
      <c r="C1033" t="s">
        <v>156</v>
      </c>
      <c r="D1033" t="s">
        <v>17</v>
      </c>
      <c r="E1033" t="s">
        <v>25</v>
      </c>
      <c r="F1033">
        <v>1</v>
      </c>
      <c r="G1033">
        <v>973</v>
      </c>
      <c r="H1033">
        <v>973</v>
      </c>
    </row>
    <row r="1034" spans="1:8" x14ac:dyDescent="0.25">
      <c r="A1034" t="s">
        <v>64</v>
      </c>
      <c r="B1034" s="1">
        <v>45502</v>
      </c>
      <c r="C1034" t="s">
        <v>65</v>
      </c>
      <c r="D1034" t="s">
        <v>10</v>
      </c>
      <c r="E1034" t="s">
        <v>35</v>
      </c>
      <c r="F1034">
        <v>2</v>
      </c>
      <c r="G1034">
        <v>486</v>
      </c>
      <c r="H1034">
        <v>972</v>
      </c>
    </row>
    <row r="1035" spans="1:8" x14ac:dyDescent="0.25">
      <c r="A1035" t="s">
        <v>1191</v>
      </c>
      <c r="B1035" s="1">
        <v>45497</v>
      </c>
      <c r="C1035" t="s">
        <v>574</v>
      </c>
      <c r="D1035" t="s">
        <v>10</v>
      </c>
      <c r="E1035" t="s">
        <v>14</v>
      </c>
      <c r="F1035">
        <v>1</v>
      </c>
      <c r="G1035">
        <v>971</v>
      </c>
      <c r="H1035">
        <v>971</v>
      </c>
    </row>
    <row r="1036" spans="1:8" x14ac:dyDescent="0.25">
      <c r="A1036" t="s">
        <v>1059</v>
      </c>
      <c r="B1036" s="1">
        <v>45518</v>
      </c>
      <c r="C1036" t="s">
        <v>336</v>
      </c>
      <c r="D1036" t="s">
        <v>17</v>
      </c>
      <c r="E1036" t="s">
        <v>25</v>
      </c>
      <c r="F1036">
        <v>3</v>
      </c>
      <c r="G1036">
        <v>322</v>
      </c>
      <c r="H1036">
        <v>966</v>
      </c>
    </row>
    <row r="1037" spans="1:8" x14ac:dyDescent="0.25">
      <c r="A1037" t="s">
        <v>1087</v>
      </c>
      <c r="B1037" s="1">
        <v>45281</v>
      </c>
      <c r="C1037" t="s">
        <v>315</v>
      </c>
      <c r="D1037" t="s">
        <v>27</v>
      </c>
      <c r="E1037" t="s">
        <v>32</v>
      </c>
      <c r="F1037">
        <v>1</v>
      </c>
      <c r="G1037">
        <v>966</v>
      </c>
      <c r="H1037">
        <v>966</v>
      </c>
    </row>
    <row r="1038" spans="1:8" x14ac:dyDescent="0.25">
      <c r="A1038" t="s">
        <v>1159</v>
      </c>
      <c r="B1038" s="1">
        <v>45488</v>
      </c>
      <c r="C1038" t="s">
        <v>286</v>
      </c>
      <c r="D1038" t="s">
        <v>20</v>
      </c>
      <c r="E1038" t="s">
        <v>32</v>
      </c>
      <c r="F1038">
        <v>4</v>
      </c>
      <c r="G1038">
        <v>241</v>
      </c>
      <c r="H1038">
        <v>964</v>
      </c>
    </row>
    <row r="1039" spans="1:8" x14ac:dyDescent="0.25">
      <c r="A1039" t="s">
        <v>988</v>
      </c>
      <c r="B1039" s="1">
        <v>45454</v>
      </c>
      <c r="C1039" t="s">
        <v>874</v>
      </c>
      <c r="D1039" t="s">
        <v>27</v>
      </c>
      <c r="E1039" t="s">
        <v>32</v>
      </c>
      <c r="F1039">
        <v>1</v>
      </c>
      <c r="G1039">
        <v>963</v>
      </c>
      <c r="H1039">
        <v>963</v>
      </c>
    </row>
    <row r="1040" spans="1:8" x14ac:dyDescent="0.25">
      <c r="A1040" t="s">
        <v>1625</v>
      </c>
      <c r="B1040" s="1">
        <v>45283</v>
      </c>
      <c r="C1040" t="s">
        <v>690</v>
      </c>
      <c r="D1040" t="s">
        <v>20</v>
      </c>
      <c r="E1040" t="s">
        <v>11</v>
      </c>
      <c r="F1040">
        <v>1</v>
      </c>
      <c r="G1040">
        <v>963</v>
      </c>
      <c r="H1040">
        <v>963</v>
      </c>
    </row>
    <row r="1041" spans="1:8" x14ac:dyDescent="0.25">
      <c r="A1041" t="s">
        <v>1476</v>
      </c>
      <c r="B1041" s="1">
        <v>44967</v>
      </c>
      <c r="C1041" t="s">
        <v>671</v>
      </c>
      <c r="D1041" t="s">
        <v>17</v>
      </c>
      <c r="E1041" t="s">
        <v>14</v>
      </c>
      <c r="F1041">
        <v>1</v>
      </c>
      <c r="G1041">
        <v>962</v>
      </c>
      <c r="H1041">
        <v>962</v>
      </c>
    </row>
    <row r="1042" spans="1:8" x14ac:dyDescent="0.25">
      <c r="A1042" t="s">
        <v>621</v>
      </c>
      <c r="B1042" s="1">
        <v>45054</v>
      </c>
      <c r="C1042" t="s">
        <v>315</v>
      </c>
      <c r="D1042" t="s">
        <v>20</v>
      </c>
      <c r="E1042" t="s">
        <v>11</v>
      </c>
      <c r="F1042">
        <v>5</v>
      </c>
      <c r="G1042">
        <v>192</v>
      </c>
      <c r="H1042">
        <v>960</v>
      </c>
    </row>
    <row r="1043" spans="1:8" x14ac:dyDescent="0.25">
      <c r="A1043" t="s">
        <v>1028</v>
      </c>
      <c r="B1043" s="1">
        <v>45389</v>
      </c>
      <c r="C1043" t="s">
        <v>187</v>
      </c>
      <c r="D1043" t="s">
        <v>27</v>
      </c>
      <c r="E1043" t="s">
        <v>32</v>
      </c>
      <c r="F1043">
        <v>3</v>
      </c>
      <c r="G1043">
        <v>320</v>
      </c>
      <c r="H1043">
        <v>960</v>
      </c>
    </row>
    <row r="1044" spans="1:8" x14ac:dyDescent="0.25">
      <c r="A1044" t="s">
        <v>1558</v>
      </c>
      <c r="B1044" s="1">
        <v>45387</v>
      </c>
      <c r="C1044" t="s">
        <v>382</v>
      </c>
      <c r="D1044" t="s">
        <v>17</v>
      </c>
      <c r="E1044" t="s">
        <v>25</v>
      </c>
      <c r="F1044">
        <v>1</v>
      </c>
      <c r="G1044">
        <v>959</v>
      </c>
      <c r="H1044">
        <v>959</v>
      </c>
    </row>
    <row r="1045" spans="1:8" x14ac:dyDescent="0.25">
      <c r="A1045" t="s">
        <v>994</v>
      </c>
      <c r="B1045" s="1">
        <v>45214</v>
      </c>
      <c r="C1045" t="s">
        <v>69</v>
      </c>
      <c r="D1045" t="s">
        <v>20</v>
      </c>
      <c r="E1045" t="s">
        <v>25</v>
      </c>
      <c r="F1045">
        <v>3</v>
      </c>
      <c r="G1045">
        <v>319</v>
      </c>
      <c r="H1045">
        <v>957</v>
      </c>
    </row>
    <row r="1046" spans="1:8" x14ac:dyDescent="0.25">
      <c r="A1046" t="s">
        <v>81</v>
      </c>
      <c r="B1046" s="1">
        <v>45086</v>
      </c>
      <c r="C1046" t="s">
        <v>82</v>
      </c>
      <c r="D1046" t="s">
        <v>10</v>
      </c>
      <c r="E1046" t="s">
        <v>14</v>
      </c>
      <c r="F1046">
        <v>1</v>
      </c>
      <c r="G1046">
        <v>956</v>
      </c>
      <c r="H1046">
        <v>956</v>
      </c>
    </row>
    <row r="1047" spans="1:8" x14ac:dyDescent="0.25">
      <c r="A1047" t="s">
        <v>934</v>
      </c>
      <c r="B1047" s="1">
        <v>45425</v>
      </c>
      <c r="C1047" t="s">
        <v>236</v>
      </c>
      <c r="D1047" t="s">
        <v>20</v>
      </c>
      <c r="E1047" t="s">
        <v>32</v>
      </c>
      <c r="F1047">
        <v>3</v>
      </c>
      <c r="G1047">
        <v>318</v>
      </c>
      <c r="H1047">
        <v>954</v>
      </c>
    </row>
    <row r="1048" spans="1:8" x14ac:dyDescent="0.25">
      <c r="A1048" t="s">
        <v>1280</v>
      </c>
      <c r="B1048" s="1">
        <v>45053</v>
      </c>
      <c r="C1048" t="s">
        <v>425</v>
      </c>
      <c r="D1048" t="s">
        <v>20</v>
      </c>
      <c r="E1048" t="s">
        <v>25</v>
      </c>
      <c r="F1048">
        <v>3</v>
      </c>
      <c r="G1048">
        <v>318</v>
      </c>
      <c r="H1048">
        <v>954</v>
      </c>
    </row>
    <row r="1049" spans="1:8" x14ac:dyDescent="0.25">
      <c r="A1049" t="s">
        <v>1746</v>
      </c>
      <c r="B1049" s="1">
        <v>45060</v>
      </c>
      <c r="C1049" t="s">
        <v>199</v>
      </c>
      <c r="D1049" t="s">
        <v>10</v>
      </c>
      <c r="E1049" t="s">
        <v>11</v>
      </c>
      <c r="F1049">
        <v>2</v>
      </c>
      <c r="G1049">
        <v>477</v>
      </c>
      <c r="H1049">
        <v>954</v>
      </c>
    </row>
    <row r="1050" spans="1:8" x14ac:dyDescent="0.25">
      <c r="A1050" t="s">
        <v>1710</v>
      </c>
      <c r="B1050" s="1">
        <v>45313</v>
      </c>
      <c r="C1050" t="s">
        <v>338</v>
      </c>
      <c r="D1050" t="s">
        <v>10</v>
      </c>
      <c r="E1050" t="s">
        <v>35</v>
      </c>
      <c r="F1050">
        <v>1</v>
      </c>
      <c r="G1050">
        <v>951</v>
      </c>
      <c r="H1050">
        <v>951</v>
      </c>
    </row>
    <row r="1051" spans="1:8" x14ac:dyDescent="0.25">
      <c r="A1051" t="s">
        <v>1386</v>
      </c>
      <c r="B1051" s="1">
        <v>45276</v>
      </c>
      <c r="C1051" t="s">
        <v>446</v>
      </c>
      <c r="D1051" t="s">
        <v>17</v>
      </c>
      <c r="E1051" t="s">
        <v>11</v>
      </c>
      <c r="F1051">
        <v>5</v>
      </c>
      <c r="G1051">
        <v>190</v>
      </c>
      <c r="H1051">
        <v>950</v>
      </c>
    </row>
    <row r="1052" spans="1:8" x14ac:dyDescent="0.25">
      <c r="A1052" t="s">
        <v>586</v>
      </c>
      <c r="B1052" s="1">
        <v>45392</v>
      </c>
      <c r="C1052" t="s">
        <v>580</v>
      </c>
      <c r="D1052" t="s">
        <v>17</v>
      </c>
      <c r="E1052" t="s">
        <v>35</v>
      </c>
      <c r="F1052">
        <v>1</v>
      </c>
      <c r="G1052">
        <v>947</v>
      </c>
      <c r="H1052">
        <v>947</v>
      </c>
    </row>
    <row r="1053" spans="1:8" x14ac:dyDescent="0.25">
      <c r="A1053" t="s">
        <v>1702</v>
      </c>
      <c r="B1053" s="1">
        <v>45293</v>
      </c>
      <c r="C1053" t="s">
        <v>1672</v>
      </c>
      <c r="D1053" t="s">
        <v>27</v>
      </c>
      <c r="E1053" t="s">
        <v>11</v>
      </c>
      <c r="F1053">
        <v>2</v>
      </c>
      <c r="G1053">
        <v>473</v>
      </c>
      <c r="H1053">
        <v>946</v>
      </c>
    </row>
    <row r="1054" spans="1:8" x14ac:dyDescent="0.25">
      <c r="A1054" t="s">
        <v>1388</v>
      </c>
      <c r="B1054" s="1">
        <v>45517</v>
      </c>
      <c r="C1054" t="s">
        <v>258</v>
      </c>
      <c r="D1054" t="s">
        <v>20</v>
      </c>
      <c r="E1054" t="s">
        <v>35</v>
      </c>
      <c r="F1054">
        <v>4</v>
      </c>
      <c r="G1054">
        <v>236</v>
      </c>
      <c r="H1054">
        <v>944</v>
      </c>
    </row>
    <row r="1055" spans="1:8" x14ac:dyDescent="0.25">
      <c r="A1055" t="s">
        <v>1443</v>
      </c>
      <c r="B1055" s="1">
        <v>45393</v>
      </c>
      <c r="C1055" t="s">
        <v>144</v>
      </c>
      <c r="D1055" t="s">
        <v>20</v>
      </c>
      <c r="E1055" t="s">
        <v>32</v>
      </c>
      <c r="F1055">
        <v>1</v>
      </c>
      <c r="G1055">
        <v>944</v>
      </c>
      <c r="H1055">
        <v>944</v>
      </c>
    </row>
    <row r="1056" spans="1:8" x14ac:dyDescent="0.25">
      <c r="A1056" t="s">
        <v>1176</v>
      </c>
      <c r="B1056" s="1">
        <v>45540</v>
      </c>
      <c r="C1056" t="s">
        <v>1090</v>
      </c>
      <c r="D1056" t="s">
        <v>17</v>
      </c>
      <c r="E1056" t="s">
        <v>35</v>
      </c>
      <c r="F1056">
        <v>1</v>
      </c>
      <c r="G1056">
        <v>941</v>
      </c>
      <c r="H1056">
        <v>941</v>
      </c>
    </row>
    <row r="1057" spans="1:8" x14ac:dyDescent="0.25">
      <c r="A1057" t="s">
        <v>646</v>
      </c>
      <c r="B1057" s="1">
        <v>45256</v>
      </c>
      <c r="C1057" t="s">
        <v>647</v>
      </c>
      <c r="D1057" t="s">
        <v>17</v>
      </c>
      <c r="E1057" t="s">
        <v>11</v>
      </c>
      <c r="F1057">
        <v>1</v>
      </c>
      <c r="G1057">
        <v>939</v>
      </c>
      <c r="H1057">
        <v>939</v>
      </c>
    </row>
    <row r="1058" spans="1:8" x14ac:dyDescent="0.25">
      <c r="A1058" t="s">
        <v>1085</v>
      </c>
      <c r="B1058" s="1">
        <v>45501</v>
      </c>
      <c r="C1058" t="s">
        <v>362</v>
      </c>
      <c r="D1058" t="s">
        <v>20</v>
      </c>
      <c r="E1058" t="s">
        <v>11</v>
      </c>
      <c r="F1058">
        <v>1</v>
      </c>
      <c r="G1058">
        <v>938</v>
      </c>
      <c r="H1058">
        <v>938</v>
      </c>
    </row>
    <row r="1059" spans="1:8" x14ac:dyDescent="0.25">
      <c r="A1059" t="s">
        <v>816</v>
      </c>
      <c r="B1059" s="1">
        <v>45126</v>
      </c>
      <c r="C1059" t="s">
        <v>45</v>
      </c>
      <c r="D1059" t="s">
        <v>20</v>
      </c>
      <c r="E1059" t="s">
        <v>25</v>
      </c>
      <c r="F1059">
        <v>4</v>
      </c>
      <c r="G1059">
        <v>234</v>
      </c>
      <c r="H1059">
        <v>936</v>
      </c>
    </row>
    <row r="1060" spans="1:8" x14ac:dyDescent="0.25">
      <c r="A1060" t="s">
        <v>622</v>
      </c>
      <c r="B1060" s="1">
        <v>45171</v>
      </c>
      <c r="C1060" t="s">
        <v>161</v>
      </c>
      <c r="D1060" t="s">
        <v>10</v>
      </c>
      <c r="E1060" t="s">
        <v>25</v>
      </c>
      <c r="F1060">
        <v>2</v>
      </c>
      <c r="G1060">
        <v>467</v>
      </c>
      <c r="H1060">
        <v>934</v>
      </c>
    </row>
    <row r="1061" spans="1:8" x14ac:dyDescent="0.25">
      <c r="A1061" t="s">
        <v>1441</v>
      </c>
      <c r="B1061" s="1">
        <v>45557</v>
      </c>
      <c r="C1061" t="s">
        <v>104</v>
      </c>
      <c r="D1061" t="s">
        <v>17</v>
      </c>
      <c r="E1061" t="s">
        <v>32</v>
      </c>
      <c r="F1061">
        <v>3</v>
      </c>
      <c r="G1061">
        <v>311</v>
      </c>
      <c r="H1061">
        <v>933</v>
      </c>
    </row>
    <row r="1062" spans="1:8" x14ac:dyDescent="0.25">
      <c r="A1062" t="s">
        <v>1714</v>
      </c>
      <c r="B1062" s="1">
        <v>45410</v>
      </c>
      <c r="C1062" t="s">
        <v>177</v>
      </c>
      <c r="D1062" t="s">
        <v>10</v>
      </c>
      <c r="E1062" t="s">
        <v>32</v>
      </c>
      <c r="F1062">
        <v>1</v>
      </c>
      <c r="G1062">
        <v>932</v>
      </c>
      <c r="H1062">
        <v>932</v>
      </c>
    </row>
    <row r="1063" spans="1:8" x14ac:dyDescent="0.25">
      <c r="A1063" t="s">
        <v>913</v>
      </c>
      <c r="B1063" s="1">
        <v>45374</v>
      </c>
      <c r="C1063" t="s">
        <v>102</v>
      </c>
      <c r="D1063" t="s">
        <v>20</v>
      </c>
      <c r="E1063" t="s">
        <v>25</v>
      </c>
      <c r="F1063">
        <v>5</v>
      </c>
      <c r="G1063">
        <v>185</v>
      </c>
      <c r="H1063">
        <v>925</v>
      </c>
    </row>
    <row r="1064" spans="1:8" x14ac:dyDescent="0.25">
      <c r="A1064" t="s">
        <v>1466</v>
      </c>
      <c r="B1064" s="1">
        <v>45454</v>
      </c>
      <c r="C1064" t="s">
        <v>187</v>
      </c>
      <c r="D1064" t="s">
        <v>17</v>
      </c>
      <c r="E1064" t="s">
        <v>11</v>
      </c>
      <c r="F1064">
        <v>2</v>
      </c>
      <c r="G1064">
        <v>462</v>
      </c>
      <c r="H1064">
        <v>924</v>
      </c>
    </row>
    <row r="1065" spans="1:8" x14ac:dyDescent="0.25">
      <c r="A1065" t="s">
        <v>1015</v>
      </c>
      <c r="B1065" s="1">
        <v>45196</v>
      </c>
      <c r="C1065" t="s">
        <v>437</v>
      </c>
      <c r="D1065" t="s">
        <v>10</v>
      </c>
      <c r="E1065" t="s">
        <v>35</v>
      </c>
      <c r="F1065">
        <v>3</v>
      </c>
      <c r="G1065">
        <v>307</v>
      </c>
      <c r="H1065">
        <v>921</v>
      </c>
    </row>
    <row r="1066" spans="1:8" x14ac:dyDescent="0.25">
      <c r="A1066" t="s">
        <v>1646</v>
      </c>
      <c r="B1066" s="1">
        <v>45166</v>
      </c>
      <c r="C1066" t="s">
        <v>820</v>
      </c>
      <c r="D1066" t="s">
        <v>27</v>
      </c>
      <c r="E1066" t="s">
        <v>32</v>
      </c>
      <c r="F1066">
        <v>2</v>
      </c>
      <c r="G1066">
        <v>460</v>
      </c>
      <c r="H1066">
        <v>920</v>
      </c>
    </row>
    <row r="1067" spans="1:8" x14ac:dyDescent="0.25">
      <c r="A1067" t="s">
        <v>460</v>
      </c>
      <c r="B1067" s="1">
        <v>45452</v>
      </c>
      <c r="C1067" t="s">
        <v>236</v>
      </c>
      <c r="D1067" t="s">
        <v>10</v>
      </c>
      <c r="E1067" t="s">
        <v>14</v>
      </c>
      <c r="F1067">
        <v>2</v>
      </c>
      <c r="G1067">
        <v>458</v>
      </c>
      <c r="H1067">
        <v>916</v>
      </c>
    </row>
    <row r="1068" spans="1:8" x14ac:dyDescent="0.25">
      <c r="A1068" t="s">
        <v>1500</v>
      </c>
      <c r="B1068" s="1">
        <v>45470</v>
      </c>
      <c r="C1068" t="s">
        <v>57</v>
      </c>
      <c r="D1068" t="s">
        <v>27</v>
      </c>
      <c r="E1068" t="s">
        <v>35</v>
      </c>
      <c r="F1068">
        <v>3</v>
      </c>
      <c r="G1068">
        <v>305</v>
      </c>
      <c r="H1068">
        <v>915</v>
      </c>
    </row>
    <row r="1069" spans="1:8" x14ac:dyDescent="0.25">
      <c r="A1069" t="s">
        <v>1678</v>
      </c>
      <c r="B1069" s="1">
        <v>45211</v>
      </c>
      <c r="C1069" t="s">
        <v>938</v>
      </c>
      <c r="D1069" t="s">
        <v>10</v>
      </c>
      <c r="E1069" t="s">
        <v>35</v>
      </c>
      <c r="F1069">
        <v>5</v>
      </c>
      <c r="G1069">
        <v>183</v>
      </c>
      <c r="H1069">
        <v>915</v>
      </c>
    </row>
    <row r="1070" spans="1:8" x14ac:dyDescent="0.25">
      <c r="A1070" t="s">
        <v>72</v>
      </c>
      <c r="B1070" s="1">
        <v>45611</v>
      </c>
      <c r="C1070" t="s">
        <v>73</v>
      </c>
      <c r="D1070" t="s">
        <v>27</v>
      </c>
      <c r="E1070" t="s">
        <v>32</v>
      </c>
      <c r="F1070">
        <v>2</v>
      </c>
      <c r="G1070">
        <v>457</v>
      </c>
      <c r="H1070">
        <v>914</v>
      </c>
    </row>
    <row r="1071" spans="1:8" x14ac:dyDescent="0.25">
      <c r="A1071" t="s">
        <v>926</v>
      </c>
      <c r="B1071" s="1">
        <v>44994</v>
      </c>
      <c r="C1071" t="s">
        <v>927</v>
      </c>
      <c r="D1071" t="s">
        <v>10</v>
      </c>
      <c r="E1071" t="s">
        <v>14</v>
      </c>
      <c r="F1071">
        <v>3</v>
      </c>
      <c r="G1071">
        <v>303</v>
      </c>
      <c r="H1071">
        <v>909</v>
      </c>
    </row>
    <row r="1072" spans="1:8" x14ac:dyDescent="0.25">
      <c r="A1072" t="s">
        <v>1339</v>
      </c>
      <c r="B1072" s="1">
        <v>45176</v>
      </c>
      <c r="C1072" t="s">
        <v>304</v>
      </c>
      <c r="D1072" t="s">
        <v>10</v>
      </c>
      <c r="E1072" t="s">
        <v>25</v>
      </c>
      <c r="F1072">
        <v>3</v>
      </c>
      <c r="G1072">
        <v>303</v>
      </c>
      <c r="H1072">
        <v>909</v>
      </c>
    </row>
    <row r="1073" spans="1:8" x14ac:dyDescent="0.25">
      <c r="A1073" t="s">
        <v>801</v>
      </c>
      <c r="B1073" s="1">
        <v>45412</v>
      </c>
      <c r="C1073" t="s">
        <v>449</v>
      </c>
      <c r="D1073" t="s">
        <v>20</v>
      </c>
      <c r="E1073" t="s">
        <v>32</v>
      </c>
      <c r="F1073">
        <v>4</v>
      </c>
      <c r="G1073">
        <v>227</v>
      </c>
      <c r="H1073">
        <v>908</v>
      </c>
    </row>
    <row r="1074" spans="1:8" x14ac:dyDescent="0.25">
      <c r="A1074" t="s">
        <v>1394</v>
      </c>
      <c r="B1074" s="1">
        <v>45141</v>
      </c>
      <c r="C1074" t="s">
        <v>1395</v>
      </c>
      <c r="D1074" t="s">
        <v>10</v>
      </c>
      <c r="E1074" t="s">
        <v>35</v>
      </c>
      <c r="F1074">
        <v>2</v>
      </c>
      <c r="G1074">
        <v>454</v>
      </c>
      <c r="H1074">
        <v>908</v>
      </c>
    </row>
    <row r="1075" spans="1:8" x14ac:dyDescent="0.25">
      <c r="A1075" t="s">
        <v>1597</v>
      </c>
      <c r="B1075" s="1">
        <v>45343</v>
      </c>
      <c r="C1075" t="s">
        <v>354</v>
      </c>
      <c r="D1075" t="s">
        <v>17</v>
      </c>
      <c r="E1075" t="s">
        <v>11</v>
      </c>
      <c r="F1075">
        <v>1</v>
      </c>
      <c r="G1075">
        <v>908</v>
      </c>
      <c r="H1075">
        <v>908</v>
      </c>
    </row>
    <row r="1076" spans="1:8" x14ac:dyDescent="0.25">
      <c r="A1076" t="s">
        <v>1741</v>
      </c>
      <c r="B1076" s="1">
        <v>45068</v>
      </c>
      <c r="C1076" t="s">
        <v>785</v>
      </c>
      <c r="D1076" t="s">
        <v>10</v>
      </c>
      <c r="E1076" t="s">
        <v>25</v>
      </c>
      <c r="F1076">
        <v>4</v>
      </c>
      <c r="G1076">
        <v>227</v>
      </c>
      <c r="H1076">
        <v>908</v>
      </c>
    </row>
    <row r="1077" spans="1:8" x14ac:dyDescent="0.25">
      <c r="A1077" t="s">
        <v>1753</v>
      </c>
      <c r="B1077" s="1">
        <v>45297</v>
      </c>
      <c r="C1077" t="s">
        <v>685</v>
      </c>
      <c r="D1077" t="s">
        <v>10</v>
      </c>
      <c r="E1077" t="s">
        <v>14</v>
      </c>
      <c r="F1077">
        <v>1</v>
      </c>
      <c r="G1077">
        <v>908</v>
      </c>
      <c r="H1077">
        <v>908</v>
      </c>
    </row>
    <row r="1078" spans="1:8" x14ac:dyDescent="0.25">
      <c r="A1078" t="s">
        <v>1633</v>
      </c>
      <c r="B1078" s="1">
        <v>45418</v>
      </c>
      <c r="C1078" t="s">
        <v>795</v>
      </c>
      <c r="D1078" t="s">
        <v>17</v>
      </c>
      <c r="E1078" t="s">
        <v>11</v>
      </c>
      <c r="F1078">
        <v>1</v>
      </c>
      <c r="G1078">
        <v>907</v>
      </c>
      <c r="H1078">
        <v>907</v>
      </c>
    </row>
    <row r="1079" spans="1:8" x14ac:dyDescent="0.25">
      <c r="A1079" t="s">
        <v>1268</v>
      </c>
      <c r="B1079" s="1">
        <v>45216</v>
      </c>
      <c r="C1079" t="s">
        <v>313</v>
      </c>
      <c r="D1079" t="s">
        <v>27</v>
      </c>
      <c r="E1079" t="s">
        <v>11</v>
      </c>
      <c r="F1079">
        <v>1</v>
      </c>
      <c r="G1079">
        <v>905</v>
      </c>
      <c r="H1079">
        <v>905</v>
      </c>
    </row>
    <row r="1080" spans="1:8" x14ac:dyDescent="0.25">
      <c r="A1080" t="s">
        <v>1621</v>
      </c>
      <c r="B1080" s="1">
        <v>45610</v>
      </c>
      <c r="C1080" t="s">
        <v>435</v>
      </c>
      <c r="D1080" t="s">
        <v>10</v>
      </c>
      <c r="E1080" t="s">
        <v>35</v>
      </c>
      <c r="F1080">
        <v>5</v>
      </c>
      <c r="G1080">
        <v>181</v>
      </c>
      <c r="H1080">
        <v>905</v>
      </c>
    </row>
    <row r="1081" spans="1:8" x14ac:dyDescent="0.25">
      <c r="A1081" t="s">
        <v>164</v>
      </c>
      <c r="B1081" s="1">
        <v>45570</v>
      </c>
      <c r="C1081" t="s">
        <v>24</v>
      </c>
      <c r="D1081" t="s">
        <v>17</v>
      </c>
      <c r="E1081" t="s">
        <v>11</v>
      </c>
      <c r="F1081">
        <v>1</v>
      </c>
      <c r="G1081">
        <v>904</v>
      </c>
      <c r="H1081">
        <v>904</v>
      </c>
    </row>
    <row r="1082" spans="1:8" x14ac:dyDescent="0.25">
      <c r="A1082" t="s">
        <v>1327</v>
      </c>
      <c r="B1082" s="1">
        <v>45346</v>
      </c>
      <c r="C1082" t="s">
        <v>574</v>
      </c>
      <c r="D1082" t="s">
        <v>17</v>
      </c>
      <c r="E1082" t="s">
        <v>25</v>
      </c>
      <c r="F1082">
        <v>2</v>
      </c>
      <c r="G1082">
        <v>451</v>
      </c>
      <c r="H1082">
        <v>902</v>
      </c>
    </row>
    <row r="1083" spans="1:8" x14ac:dyDescent="0.25">
      <c r="A1083" t="s">
        <v>1190</v>
      </c>
      <c r="B1083" s="1">
        <v>45333</v>
      </c>
      <c r="C1083" t="s">
        <v>199</v>
      </c>
      <c r="D1083" t="s">
        <v>27</v>
      </c>
      <c r="E1083" t="s">
        <v>35</v>
      </c>
      <c r="F1083">
        <v>3</v>
      </c>
      <c r="G1083">
        <v>300</v>
      </c>
      <c r="H1083">
        <v>900</v>
      </c>
    </row>
    <row r="1084" spans="1:8" x14ac:dyDescent="0.25">
      <c r="A1084" t="s">
        <v>1717</v>
      </c>
      <c r="B1084" s="1">
        <v>45261</v>
      </c>
      <c r="C1084" t="s">
        <v>938</v>
      </c>
      <c r="D1084" t="s">
        <v>27</v>
      </c>
      <c r="E1084" t="s">
        <v>25</v>
      </c>
      <c r="F1084">
        <v>2</v>
      </c>
      <c r="G1084">
        <v>448</v>
      </c>
      <c r="H1084">
        <v>896</v>
      </c>
    </row>
    <row r="1085" spans="1:8" x14ac:dyDescent="0.25">
      <c r="A1085" t="s">
        <v>850</v>
      </c>
      <c r="B1085" s="1">
        <v>45017</v>
      </c>
      <c r="C1085" t="s">
        <v>322</v>
      </c>
      <c r="D1085" t="s">
        <v>10</v>
      </c>
      <c r="E1085" t="s">
        <v>25</v>
      </c>
      <c r="F1085">
        <v>1</v>
      </c>
      <c r="G1085">
        <v>895</v>
      </c>
      <c r="H1085">
        <v>895</v>
      </c>
    </row>
    <row r="1086" spans="1:8" x14ac:dyDescent="0.25">
      <c r="A1086" t="s">
        <v>407</v>
      </c>
      <c r="B1086" s="1">
        <v>45584</v>
      </c>
      <c r="C1086" t="s">
        <v>9</v>
      </c>
      <c r="D1086" t="s">
        <v>27</v>
      </c>
      <c r="E1086" t="s">
        <v>35</v>
      </c>
      <c r="F1086">
        <v>1</v>
      </c>
      <c r="G1086">
        <v>891</v>
      </c>
      <c r="H1086">
        <v>891</v>
      </c>
    </row>
    <row r="1087" spans="1:8" x14ac:dyDescent="0.25">
      <c r="A1087" t="s">
        <v>1671</v>
      </c>
      <c r="B1087" s="1">
        <v>45083</v>
      </c>
      <c r="C1087" t="s">
        <v>1672</v>
      </c>
      <c r="D1087" t="s">
        <v>27</v>
      </c>
      <c r="E1087" t="s">
        <v>32</v>
      </c>
      <c r="F1087">
        <v>5</v>
      </c>
      <c r="G1087">
        <v>178</v>
      </c>
      <c r="H1087">
        <v>890</v>
      </c>
    </row>
    <row r="1088" spans="1:8" x14ac:dyDescent="0.25">
      <c r="A1088" t="s">
        <v>1222</v>
      </c>
      <c r="B1088" s="1">
        <v>45036</v>
      </c>
      <c r="C1088" t="s">
        <v>396</v>
      </c>
      <c r="D1088" t="s">
        <v>17</v>
      </c>
      <c r="E1088" t="s">
        <v>35</v>
      </c>
      <c r="F1088">
        <v>2</v>
      </c>
      <c r="G1088">
        <v>442</v>
      </c>
      <c r="H1088">
        <v>884</v>
      </c>
    </row>
    <row r="1089" spans="1:8" x14ac:dyDescent="0.25">
      <c r="A1089" t="s">
        <v>1642</v>
      </c>
      <c r="B1089" s="1">
        <v>45491</v>
      </c>
      <c r="C1089" t="s">
        <v>330</v>
      </c>
      <c r="D1089" t="s">
        <v>17</v>
      </c>
      <c r="E1089" t="s">
        <v>14</v>
      </c>
      <c r="F1089">
        <v>4</v>
      </c>
      <c r="G1089">
        <v>221</v>
      </c>
      <c r="H1089">
        <v>884</v>
      </c>
    </row>
    <row r="1090" spans="1:8" x14ac:dyDescent="0.25">
      <c r="A1090" t="s">
        <v>1137</v>
      </c>
      <c r="B1090" s="1">
        <v>45541</v>
      </c>
      <c r="C1090" t="s">
        <v>562</v>
      </c>
      <c r="D1090" t="s">
        <v>17</v>
      </c>
      <c r="E1090" t="s">
        <v>32</v>
      </c>
      <c r="F1090">
        <v>1</v>
      </c>
      <c r="G1090">
        <v>882</v>
      </c>
      <c r="H1090">
        <v>882</v>
      </c>
    </row>
    <row r="1091" spans="1:8" x14ac:dyDescent="0.25">
      <c r="A1091" t="s">
        <v>857</v>
      </c>
      <c r="B1091" s="1">
        <v>45346</v>
      </c>
      <c r="C1091" t="s">
        <v>201</v>
      </c>
      <c r="D1091" t="s">
        <v>17</v>
      </c>
      <c r="E1091" t="s">
        <v>25</v>
      </c>
      <c r="F1091">
        <v>2</v>
      </c>
      <c r="G1091">
        <v>440</v>
      </c>
      <c r="H1091">
        <v>880</v>
      </c>
    </row>
    <row r="1092" spans="1:8" x14ac:dyDescent="0.25">
      <c r="A1092" t="s">
        <v>1487</v>
      </c>
      <c r="B1092" s="1">
        <v>44930</v>
      </c>
      <c r="C1092" t="s">
        <v>338</v>
      </c>
      <c r="D1092" t="s">
        <v>20</v>
      </c>
      <c r="E1092" t="s">
        <v>35</v>
      </c>
      <c r="F1092">
        <v>4</v>
      </c>
      <c r="G1092">
        <v>220</v>
      </c>
      <c r="H1092">
        <v>880</v>
      </c>
    </row>
    <row r="1093" spans="1:8" x14ac:dyDescent="0.25">
      <c r="A1093" t="s">
        <v>807</v>
      </c>
      <c r="B1093" s="1">
        <v>45590</v>
      </c>
      <c r="C1093" t="s">
        <v>336</v>
      </c>
      <c r="D1093" t="s">
        <v>20</v>
      </c>
      <c r="E1093" t="s">
        <v>11</v>
      </c>
      <c r="F1093">
        <v>1</v>
      </c>
      <c r="G1093">
        <v>878</v>
      </c>
      <c r="H1093">
        <v>878</v>
      </c>
    </row>
    <row r="1094" spans="1:8" x14ac:dyDescent="0.25">
      <c r="A1094" t="s">
        <v>327</v>
      </c>
      <c r="B1094" s="1">
        <v>45293</v>
      </c>
      <c r="C1094" t="s">
        <v>328</v>
      </c>
      <c r="D1094" t="s">
        <v>20</v>
      </c>
      <c r="E1094" t="s">
        <v>25</v>
      </c>
      <c r="F1094">
        <v>1</v>
      </c>
      <c r="G1094">
        <v>873</v>
      </c>
      <c r="H1094">
        <v>873</v>
      </c>
    </row>
    <row r="1095" spans="1:8" x14ac:dyDescent="0.25">
      <c r="A1095" t="s">
        <v>1645</v>
      </c>
      <c r="B1095" s="1">
        <v>45288</v>
      </c>
      <c r="C1095" t="s">
        <v>82</v>
      </c>
      <c r="D1095" t="s">
        <v>10</v>
      </c>
      <c r="E1095" t="s">
        <v>32</v>
      </c>
      <c r="F1095">
        <v>1</v>
      </c>
      <c r="G1095">
        <v>871</v>
      </c>
      <c r="H1095">
        <v>871</v>
      </c>
    </row>
    <row r="1096" spans="1:8" x14ac:dyDescent="0.25">
      <c r="A1096" t="s">
        <v>911</v>
      </c>
      <c r="B1096" s="1">
        <v>44965</v>
      </c>
      <c r="C1096" t="s">
        <v>468</v>
      </c>
      <c r="D1096" t="s">
        <v>20</v>
      </c>
      <c r="E1096" t="s">
        <v>32</v>
      </c>
      <c r="F1096">
        <v>5</v>
      </c>
      <c r="G1096">
        <v>174</v>
      </c>
      <c r="H1096">
        <v>870</v>
      </c>
    </row>
    <row r="1097" spans="1:8" x14ac:dyDescent="0.25">
      <c r="A1097" t="s">
        <v>1275</v>
      </c>
      <c r="B1097" s="1">
        <v>45418</v>
      </c>
      <c r="C1097" t="s">
        <v>360</v>
      </c>
      <c r="D1097" t="s">
        <v>27</v>
      </c>
      <c r="E1097" t="s">
        <v>25</v>
      </c>
      <c r="F1097">
        <v>3</v>
      </c>
      <c r="G1097">
        <v>290</v>
      </c>
      <c r="H1097">
        <v>870</v>
      </c>
    </row>
    <row r="1098" spans="1:8" x14ac:dyDescent="0.25">
      <c r="A1098" t="s">
        <v>576</v>
      </c>
      <c r="B1098" s="1">
        <v>45543</v>
      </c>
      <c r="C1098" t="s">
        <v>330</v>
      </c>
      <c r="D1098" t="s">
        <v>10</v>
      </c>
      <c r="E1098" t="s">
        <v>35</v>
      </c>
      <c r="F1098">
        <v>2</v>
      </c>
      <c r="G1098">
        <v>434</v>
      </c>
      <c r="H1098">
        <v>868</v>
      </c>
    </row>
    <row r="1099" spans="1:8" x14ac:dyDescent="0.25">
      <c r="A1099" t="s">
        <v>1369</v>
      </c>
      <c r="B1099" s="1">
        <v>45361</v>
      </c>
      <c r="C1099" t="s">
        <v>417</v>
      </c>
      <c r="D1099" t="s">
        <v>20</v>
      </c>
      <c r="E1099" t="s">
        <v>32</v>
      </c>
      <c r="F1099">
        <v>1</v>
      </c>
      <c r="G1099">
        <v>867</v>
      </c>
      <c r="H1099">
        <v>867</v>
      </c>
    </row>
    <row r="1100" spans="1:8" x14ac:dyDescent="0.25">
      <c r="A1100" t="s">
        <v>1405</v>
      </c>
      <c r="B1100" s="1">
        <v>45067</v>
      </c>
      <c r="C1100" t="s">
        <v>594</v>
      </c>
      <c r="D1100" t="s">
        <v>10</v>
      </c>
      <c r="E1100" t="s">
        <v>25</v>
      </c>
      <c r="F1100">
        <v>2</v>
      </c>
      <c r="G1100">
        <v>433</v>
      </c>
      <c r="H1100">
        <v>866</v>
      </c>
    </row>
    <row r="1101" spans="1:8" x14ac:dyDescent="0.25">
      <c r="A1101" t="s">
        <v>1416</v>
      </c>
      <c r="B1101" s="1">
        <v>45338</v>
      </c>
      <c r="C1101" t="s">
        <v>589</v>
      </c>
      <c r="D1101" t="s">
        <v>10</v>
      </c>
      <c r="E1101" t="s">
        <v>11</v>
      </c>
      <c r="F1101">
        <v>2</v>
      </c>
      <c r="G1101">
        <v>433</v>
      </c>
      <c r="H1101">
        <v>866</v>
      </c>
    </row>
    <row r="1102" spans="1:8" x14ac:dyDescent="0.25">
      <c r="A1102" t="s">
        <v>1670</v>
      </c>
      <c r="B1102" s="1">
        <v>45424</v>
      </c>
      <c r="C1102" t="s">
        <v>929</v>
      </c>
      <c r="D1102" t="s">
        <v>20</v>
      </c>
      <c r="E1102" t="s">
        <v>35</v>
      </c>
      <c r="F1102">
        <v>5</v>
      </c>
      <c r="G1102">
        <v>173</v>
      </c>
      <c r="H1102">
        <v>865</v>
      </c>
    </row>
    <row r="1103" spans="1:8" x14ac:dyDescent="0.25">
      <c r="A1103" t="s">
        <v>819</v>
      </c>
      <c r="B1103" s="1">
        <v>45554</v>
      </c>
      <c r="C1103" t="s">
        <v>820</v>
      </c>
      <c r="D1103" t="s">
        <v>17</v>
      </c>
      <c r="E1103" t="s">
        <v>14</v>
      </c>
      <c r="F1103">
        <v>1</v>
      </c>
      <c r="G1103">
        <v>863</v>
      </c>
      <c r="H1103">
        <v>863</v>
      </c>
    </row>
    <row r="1104" spans="1:8" x14ac:dyDescent="0.25">
      <c r="A1104" t="s">
        <v>1260</v>
      </c>
      <c r="B1104" s="1">
        <v>45526</v>
      </c>
      <c r="C1104" t="s">
        <v>214</v>
      </c>
      <c r="D1104" t="s">
        <v>27</v>
      </c>
      <c r="E1104" t="s">
        <v>11</v>
      </c>
      <c r="F1104">
        <v>2</v>
      </c>
      <c r="G1104">
        <v>430</v>
      </c>
      <c r="H1104">
        <v>860</v>
      </c>
    </row>
    <row r="1105" spans="1:8" x14ac:dyDescent="0.25">
      <c r="A1105" t="s">
        <v>1570</v>
      </c>
      <c r="B1105" s="1">
        <v>45312</v>
      </c>
      <c r="C1105" t="s">
        <v>84</v>
      </c>
      <c r="D1105" t="s">
        <v>10</v>
      </c>
      <c r="E1105" t="s">
        <v>14</v>
      </c>
      <c r="F1105">
        <v>5</v>
      </c>
      <c r="G1105">
        <v>172</v>
      </c>
      <c r="H1105">
        <v>860</v>
      </c>
    </row>
    <row r="1106" spans="1:8" x14ac:dyDescent="0.25">
      <c r="A1106" t="s">
        <v>213</v>
      </c>
      <c r="B1106" s="1">
        <v>45380</v>
      </c>
      <c r="C1106" t="s">
        <v>214</v>
      </c>
      <c r="D1106" t="s">
        <v>17</v>
      </c>
      <c r="E1106" t="s">
        <v>32</v>
      </c>
      <c r="F1106">
        <v>1</v>
      </c>
      <c r="G1106">
        <v>859</v>
      </c>
      <c r="H1106">
        <v>859</v>
      </c>
    </row>
    <row r="1107" spans="1:8" x14ac:dyDescent="0.25">
      <c r="A1107" t="s">
        <v>866</v>
      </c>
      <c r="B1107" s="1">
        <v>45453</v>
      </c>
      <c r="C1107" t="s">
        <v>226</v>
      </c>
      <c r="D1107" t="s">
        <v>17</v>
      </c>
      <c r="E1107" t="s">
        <v>35</v>
      </c>
      <c r="F1107">
        <v>3</v>
      </c>
      <c r="G1107">
        <v>286</v>
      </c>
      <c r="H1107">
        <v>858</v>
      </c>
    </row>
    <row r="1108" spans="1:8" x14ac:dyDescent="0.25">
      <c r="A1108" t="s">
        <v>900</v>
      </c>
      <c r="B1108" s="1">
        <v>45488</v>
      </c>
      <c r="C1108" t="s">
        <v>261</v>
      </c>
      <c r="D1108" t="s">
        <v>27</v>
      </c>
      <c r="E1108" t="s">
        <v>35</v>
      </c>
      <c r="F1108">
        <v>2</v>
      </c>
      <c r="G1108">
        <v>429</v>
      </c>
      <c r="H1108">
        <v>858</v>
      </c>
    </row>
    <row r="1109" spans="1:8" x14ac:dyDescent="0.25">
      <c r="A1109" t="s">
        <v>1632</v>
      </c>
      <c r="B1109" s="1">
        <v>45522</v>
      </c>
      <c r="C1109" t="s">
        <v>477</v>
      </c>
      <c r="D1109" t="s">
        <v>10</v>
      </c>
      <c r="E1109" t="s">
        <v>14</v>
      </c>
      <c r="F1109">
        <v>1</v>
      </c>
      <c r="G1109">
        <v>857</v>
      </c>
      <c r="H1109">
        <v>857</v>
      </c>
    </row>
    <row r="1110" spans="1:8" x14ac:dyDescent="0.25">
      <c r="A1110" t="s">
        <v>1575</v>
      </c>
      <c r="B1110" s="1">
        <v>45269</v>
      </c>
      <c r="C1110" t="s">
        <v>642</v>
      </c>
      <c r="D1110" t="s">
        <v>17</v>
      </c>
      <c r="E1110" t="s">
        <v>35</v>
      </c>
      <c r="F1110">
        <v>1</v>
      </c>
      <c r="G1110">
        <v>855</v>
      </c>
      <c r="H1110">
        <v>855</v>
      </c>
    </row>
    <row r="1111" spans="1:8" x14ac:dyDescent="0.25">
      <c r="A1111" t="s">
        <v>1529</v>
      </c>
      <c r="B1111" s="1">
        <v>45602</v>
      </c>
      <c r="C1111" t="s">
        <v>270</v>
      </c>
      <c r="D1111" t="s">
        <v>20</v>
      </c>
      <c r="E1111" t="s">
        <v>11</v>
      </c>
      <c r="F1111">
        <v>1</v>
      </c>
      <c r="G1111">
        <v>854</v>
      </c>
      <c r="H1111">
        <v>854</v>
      </c>
    </row>
    <row r="1112" spans="1:8" x14ac:dyDescent="0.25">
      <c r="A1112" t="s">
        <v>1742</v>
      </c>
      <c r="B1112" s="1">
        <v>45005</v>
      </c>
      <c r="C1112" t="s">
        <v>125</v>
      </c>
      <c r="D1112" t="s">
        <v>27</v>
      </c>
      <c r="E1112" t="s">
        <v>14</v>
      </c>
      <c r="F1112">
        <v>3</v>
      </c>
      <c r="G1112">
        <v>283</v>
      </c>
      <c r="H1112">
        <v>849</v>
      </c>
    </row>
    <row r="1113" spans="1:8" x14ac:dyDescent="0.25">
      <c r="A1113" t="s">
        <v>1131</v>
      </c>
      <c r="B1113" s="1">
        <v>45171</v>
      </c>
      <c r="C1113" t="s">
        <v>429</v>
      </c>
      <c r="D1113" t="s">
        <v>20</v>
      </c>
      <c r="E1113" t="s">
        <v>14</v>
      </c>
      <c r="F1113">
        <v>4</v>
      </c>
      <c r="G1113">
        <v>212</v>
      </c>
      <c r="H1113">
        <v>848</v>
      </c>
    </row>
    <row r="1114" spans="1:8" x14ac:dyDescent="0.25">
      <c r="A1114" t="s">
        <v>1374</v>
      </c>
      <c r="B1114" s="1">
        <v>45332</v>
      </c>
      <c r="C1114" t="s">
        <v>371</v>
      </c>
      <c r="D1114" t="s">
        <v>10</v>
      </c>
      <c r="E1114" t="s">
        <v>32</v>
      </c>
      <c r="F1114">
        <v>2</v>
      </c>
      <c r="G1114">
        <v>424</v>
      </c>
      <c r="H1114">
        <v>848</v>
      </c>
    </row>
    <row r="1115" spans="1:8" x14ac:dyDescent="0.25">
      <c r="A1115" t="s">
        <v>1571</v>
      </c>
      <c r="B1115" s="1">
        <v>45419</v>
      </c>
      <c r="C1115" t="s">
        <v>63</v>
      </c>
      <c r="D1115" t="s">
        <v>17</v>
      </c>
      <c r="E1115" t="s">
        <v>35</v>
      </c>
      <c r="F1115">
        <v>2</v>
      </c>
      <c r="G1115">
        <v>424</v>
      </c>
      <c r="H1115">
        <v>848</v>
      </c>
    </row>
    <row r="1116" spans="1:8" x14ac:dyDescent="0.25">
      <c r="A1116" t="s">
        <v>917</v>
      </c>
      <c r="B1116" s="1">
        <v>45500</v>
      </c>
      <c r="C1116" t="s">
        <v>315</v>
      </c>
      <c r="D1116" t="s">
        <v>20</v>
      </c>
      <c r="E1116" t="s">
        <v>11</v>
      </c>
      <c r="F1116">
        <v>2</v>
      </c>
      <c r="G1116">
        <v>423</v>
      </c>
      <c r="H1116">
        <v>846</v>
      </c>
    </row>
    <row r="1117" spans="1:8" x14ac:dyDescent="0.25">
      <c r="A1117" t="s">
        <v>1533</v>
      </c>
      <c r="B1117" s="1">
        <v>45579</v>
      </c>
      <c r="C1117" t="s">
        <v>330</v>
      </c>
      <c r="D1117" t="s">
        <v>17</v>
      </c>
      <c r="E1117" t="s">
        <v>25</v>
      </c>
      <c r="F1117">
        <v>1</v>
      </c>
      <c r="G1117">
        <v>845</v>
      </c>
      <c r="H1117">
        <v>845</v>
      </c>
    </row>
    <row r="1118" spans="1:8" x14ac:dyDescent="0.25">
      <c r="A1118" t="s">
        <v>726</v>
      </c>
      <c r="B1118" s="1">
        <v>45234</v>
      </c>
      <c r="C1118" t="s">
        <v>181</v>
      </c>
      <c r="D1118" t="s">
        <v>17</v>
      </c>
      <c r="E1118" t="s">
        <v>11</v>
      </c>
      <c r="F1118">
        <v>1</v>
      </c>
      <c r="G1118">
        <v>844</v>
      </c>
      <c r="H1118">
        <v>844</v>
      </c>
    </row>
    <row r="1119" spans="1:8" x14ac:dyDescent="0.25">
      <c r="A1119" t="s">
        <v>1453</v>
      </c>
      <c r="B1119" s="1">
        <v>45110</v>
      </c>
      <c r="C1119" t="s">
        <v>53</v>
      </c>
      <c r="D1119" t="s">
        <v>17</v>
      </c>
      <c r="E1119" t="s">
        <v>35</v>
      </c>
      <c r="F1119">
        <v>4</v>
      </c>
      <c r="G1119">
        <v>211</v>
      </c>
      <c r="H1119">
        <v>844</v>
      </c>
    </row>
    <row r="1120" spans="1:8" x14ac:dyDescent="0.25">
      <c r="A1120" t="s">
        <v>1460</v>
      </c>
      <c r="B1120" s="1">
        <v>45601</v>
      </c>
      <c r="C1120" t="s">
        <v>169</v>
      </c>
      <c r="D1120" t="s">
        <v>20</v>
      </c>
      <c r="E1120" t="s">
        <v>25</v>
      </c>
      <c r="F1120">
        <v>3</v>
      </c>
      <c r="G1120">
        <v>281</v>
      </c>
      <c r="H1120">
        <v>843</v>
      </c>
    </row>
    <row r="1121" spans="1:8" x14ac:dyDescent="0.25">
      <c r="A1121" t="s">
        <v>1438</v>
      </c>
      <c r="B1121" s="1">
        <v>45169</v>
      </c>
      <c r="C1121" t="s">
        <v>173</v>
      </c>
      <c r="D1121" t="s">
        <v>20</v>
      </c>
      <c r="E1121" t="s">
        <v>35</v>
      </c>
      <c r="F1121">
        <v>1</v>
      </c>
      <c r="G1121">
        <v>837</v>
      </c>
      <c r="H1121">
        <v>837</v>
      </c>
    </row>
    <row r="1122" spans="1:8" x14ac:dyDescent="0.25">
      <c r="A1122" t="s">
        <v>1584</v>
      </c>
      <c r="B1122" s="1">
        <v>45179</v>
      </c>
      <c r="C1122" t="s">
        <v>562</v>
      </c>
      <c r="D1122" t="s">
        <v>20</v>
      </c>
      <c r="E1122" t="s">
        <v>32</v>
      </c>
      <c r="F1122">
        <v>1</v>
      </c>
      <c r="G1122">
        <v>837</v>
      </c>
      <c r="H1122">
        <v>837</v>
      </c>
    </row>
    <row r="1123" spans="1:8" x14ac:dyDescent="0.25">
      <c r="A1123" t="s">
        <v>1808</v>
      </c>
      <c r="B1123" s="1">
        <v>45007</v>
      </c>
      <c r="C1123" t="s">
        <v>216</v>
      </c>
      <c r="D1123" t="s">
        <v>17</v>
      </c>
      <c r="E1123" t="s">
        <v>14</v>
      </c>
      <c r="F1123">
        <v>4</v>
      </c>
      <c r="G1123">
        <v>209</v>
      </c>
      <c r="H1123">
        <v>836</v>
      </c>
    </row>
    <row r="1124" spans="1:8" x14ac:dyDescent="0.25">
      <c r="A1124" t="s">
        <v>36</v>
      </c>
      <c r="B1124" s="1">
        <v>44933</v>
      </c>
      <c r="C1124" t="s">
        <v>37</v>
      </c>
      <c r="D1124" t="s">
        <v>20</v>
      </c>
      <c r="E1124" t="s">
        <v>32</v>
      </c>
      <c r="F1124">
        <v>1</v>
      </c>
      <c r="G1124">
        <v>831</v>
      </c>
      <c r="H1124">
        <v>831</v>
      </c>
    </row>
    <row r="1125" spans="1:8" x14ac:dyDescent="0.25">
      <c r="A1125" t="s">
        <v>149</v>
      </c>
      <c r="B1125" s="1">
        <v>45346</v>
      </c>
      <c r="C1125" t="s">
        <v>150</v>
      </c>
      <c r="D1125" t="s">
        <v>10</v>
      </c>
      <c r="E1125" t="s">
        <v>11</v>
      </c>
      <c r="F1125">
        <v>3</v>
      </c>
      <c r="G1125">
        <v>276</v>
      </c>
      <c r="H1125">
        <v>828</v>
      </c>
    </row>
    <row r="1126" spans="1:8" x14ac:dyDescent="0.25">
      <c r="A1126" t="s">
        <v>386</v>
      </c>
      <c r="B1126" s="1">
        <v>45220</v>
      </c>
      <c r="C1126" t="s">
        <v>123</v>
      </c>
      <c r="D1126" t="s">
        <v>27</v>
      </c>
      <c r="E1126" t="s">
        <v>11</v>
      </c>
      <c r="F1126">
        <v>1</v>
      </c>
      <c r="G1126">
        <v>827</v>
      </c>
      <c r="H1126">
        <v>827</v>
      </c>
    </row>
    <row r="1127" spans="1:8" x14ac:dyDescent="0.25">
      <c r="A1127" t="s">
        <v>1690</v>
      </c>
      <c r="B1127" s="1">
        <v>45122</v>
      </c>
      <c r="C1127" t="s">
        <v>685</v>
      </c>
      <c r="D1127" t="s">
        <v>17</v>
      </c>
      <c r="E1127" t="s">
        <v>35</v>
      </c>
      <c r="F1127">
        <v>2</v>
      </c>
      <c r="G1127">
        <v>412</v>
      </c>
      <c r="H1127">
        <v>824</v>
      </c>
    </row>
    <row r="1128" spans="1:8" x14ac:dyDescent="0.25">
      <c r="A1128" t="s">
        <v>229</v>
      </c>
      <c r="B1128" s="1">
        <v>45232</v>
      </c>
      <c r="C1128" t="s">
        <v>230</v>
      </c>
      <c r="D1128" t="s">
        <v>17</v>
      </c>
      <c r="E1128" t="s">
        <v>35</v>
      </c>
      <c r="F1128">
        <v>3</v>
      </c>
      <c r="G1128">
        <v>274</v>
      </c>
      <c r="H1128">
        <v>822</v>
      </c>
    </row>
    <row r="1129" spans="1:8" x14ac:dyDescent="0.25">
      <c r="A1129" t="s">
        <v>1005</v>
      </c>
      <c r="B1129" s="1">
        <v>45046</v>
      </c>
      <c r="C1129" t="s">
        <v>338</v>
      </c>
      <c r="D1129" t="s">
        <v>17</v>
      </c>
      <c r="E1129" t="s">
        <v>14</v>
      </c>
      <c r="F1129">
        <v>1</v>
      </c>
      <c r="G1129">
        <v>822</v>
      </c>
      <c r="H1129">
        <v>822</v>
      </c>
    </row>
    <row r="1130" spans="1:8" x14ac:dyDescent="0.25">
      <c r="A1130" t="s">
        <v>993</v>
      </c>
      <c r="B1130" s="1">
        <v>44977</v>
      </c>
      <c r="C1130" t="s">
        <v>175</v>
      </c>
      <c r="D1130" t="s">
        <v>27</v>
      </c>
      <c r="E1130" t="s">
        <v>25</v>
      </c>
      <c r="F1130">
        <v>3</v>
      </c>
      <c r="G1130">
        <v>271</v>
      </c>
      <c r="H1130">
        <v>813</v>
      </c>
    </row>
    <row r="1131" spans="1:8" x14ac:dyDescent="0.25">
      <c r="A1131" t="s">
        <v>1109</v>
      </c>
      <c r="B1131" s="1">
        <v>45310</v>
      </c>
      <c r="C1131" t="s">
        <v>364</v>
      </c>
      <c r="D1131" t="s">
        <v>17</v>
      </c>
      <c r="E1131" t="s">
        <v>14</v>
      </c>
      <c r="F1131">
        <v>4</v>
      </c>
      <c r="G1131">
        <v>203</v>
      </c>
      <c r="H1131">
        <v>812</v>
      </c>
    </row>
    <row r="1132" spans="1:8" x14ac:dyDescent="0.25">
      <c r="A1132" t="s">
        <v>1331</v>
      </c>
      <c r="B1132" s="1">
        <v>45511</v>
      </c>
      <c r="C1132" t="s">
        <v>121</v>
      </c>
      <c r="D1132" t="s">
        <v>17</v>
      </c>
      <c r="E1132" t="s">
        <v>32</v>
      </c>
      <c r="F1132">
        <v>1</v>
      </c>
      <c r="G1132">
        <v>810</v>
      </c>
      <c r="H1132">
        <v>810</v>
      </c>
    </row>
    <row r="1133" spans="1:8" x14ac:dyDescent="0.25">
      <c r="A1133" t="s">
        <v>777</v>
      </c>
      <c r="B1133" s="1">
        <v>45466</v>
      </c>
      <c r="C1133" t="s">
        <v>459</v>
      </c>
      <c r="D1133" t="s">
        <v>17</v>
      </c>
      <c r="E1133" t="s">
        <v>35</v>
      </c>
      <c r="F1133">
        <v>2</v>
      </c>
      <c r="G1133">
        <v>404</v>
      </c>
      <c r="H1133">
        <v>808</v>
      </c>
    </row>
    <row r="1134" spans="1:8" x14ac:dyDescent="0.25">
      <c r="A1134" t="s">
        <v>1206</v>
      </c>
      <c r="B1134" s="1">
        <v>45446</v>
      </c>
      <c r="C1134" t="s">
        <v>96</v>
      </c>
      <c r="D1134" t="s">
        <v>10</v>
      </c>
      <c r="E1134" t="s">
        <v>32</v>
      </c>
      <c r="F1134">
        <v>3</v>
      </c>
      <c r="G1134">
        <v>269</v>
      </c>
      <c r="H1134">
        <v>807</v>
      </c>
    </row>
    <row r="1135" spans="1:8" x14ac:dyDescent="0.25">
      <c r="A1135" t="s">
        <v>825</v>
      </c>
      <c r="B1135" s="1">
        <v>45269</v>
      </c>
      <c r="C1135" t="s">
        <v>570</v>
      </c>
      <c r="D1135" t="s">
        <v>20</v>
      </c>
      <c r="E1135" t="s">
        <v>14</v>
      </c>
      <c r="F1135">
        <v>1</v>
      </c>
      <c r="G1135">
        <v>804</v>
      </c>
      <c r="H1135">
        <v>804</v>
      </c>
    </row>
    <row r="1136" spans="1:8" x14ac:dyDescent="0.25">
      <c r="A1136" t="s">
        <v>1401</v>
      </c>
      <c r="B1136" s="1">
        <v>45259</v>
      </c>
      <c r="C1136" t="s">
        <v>236</v>
      </c>
      <c r="D1136" t="s">
        <v>27</v>
      </c>
      <c r="E1136" t="s">
        <v>35</v>
      </c>
      <c r="F1136">
        <v>2</v>
      </c>
      <c r="G1136">
        <v>402</v>
      </c>
      <c r="H1136">
        <v>804</v>
      </c>
    </row>
    <row r="1137" spans="1:8" x14ac:dyDescent="0.25">
      <c r="A1137" t="s">
        <v>1217</v>
      </c>
      <c r="B1137" s="1">
        <v>45122</v>
      </c>
      <c r="C1137" t="s">
        <v>570</v>
      </c>
      <c r="D1137" t="s">
        <v>27</v>
      </c>
      <c r="E1137" t="s">
        <v>25</v>
      </c>
      <c r="F1137">
        <v>1</v>
      </c>
      <c r="G1137">
        <v>803</v>
      </c>
      <c r="H1137">
        <v>803</v>
      </c>
    </row>
    <row r="1138" spans="1:8" x14ac:dyDescent="0.25">
      <c r="A1138" t="s">
        <v>939</v>
      </c>
      <c r="B1138" s="1">
        <v>44997</v>
      </c>
      <c r="C1138" t="s">
        <v>183</v>
      </c>
      <c r="D1138" t="s">
        <v>20</v>
      </c>
      <c r="E1138" t="s">
        <v>32</v>
      </c>
      <c r="F1138">
        <v>2</v>
      </c>
      <c r="G1138">
        <v>401</v>
      </c>
      <c r="H1138">
        <v>802</v>
      </c>
    </row>
    <row r="1139" spans="1:8" x14ac:dyDescent="0.25">
      <c r="A1139" t="s">
        <v>619</v>
      </c>
      <c r="B1139" s="1">
        <v>45336</v>
      </c>
      <c r="C1139" t="s">
        <v>320</v>
      </c>
      <c r="D1139" t="s">
        <v>27</v>
      </c>
      <c r="E1139" t="s">
        <v>35</v>
      </c>
      <c r="F1139">
        <v>1</v>
      </c>
      <c r="G1139">
        <v>796</v>
      </c>
      <c r="H1139">
        <v>796</v>
      </c>
    </row>
    <row r="1140" spans="1:8" x14ac:dyDescent="0.25">
      <c r="A1140" t="s">
        <v>1253</v>
      </c>
      <c r="B1140" s="1">
        <v>45500</v>
      </c>
      <c r="C1140" t="s">
        <v>766</v>
      </c>
      <c r="D1140" t="s">
        <v>20</v>
      </c>
      <c r="E1140" t="s">
        <v>25</v>
      </c>
      <c r="F1140">
        <v>5</v>
      </c>
      <c r="G1140">
        <v>159</v>
      </c>
      <c r="H1140">
        <v>795</v>
      </c>
    </row>
    <row r="1141" spans="1:8" x14ac:dyDescent="0.25">
      <c r="A1141" t="s">
        <v>349</v>
      </c>
      <c r="B1141" s="1">
        <v>45253</v>
      </c>
      <c r="C1141" t="s">
        <v>350</v>
      </c>
      <c r="D1141" t="s">
        <v>17</v>
      </c>
      <c r="E1141" t="s">
        <v>14</v>
      </c>
      <c r="F1141">
        <v>1</v>
      </c>
      <c r="G1141">
        <v>794</v>
      </c>
      <c r="H1141">
        <v>794</v>
      </c>
    </row>
    <row r="1142" spans="1:8" x14ac:dyDescent="0.25">
      <c r="A1142" t="s">
        <v>1610</v>
      </c>
      <c r="B1142" s="1">
        <v>45553</v>
      </c>
      <c r="C1142" t="s">
        <v>268</v>
      </c>
      <c r="D1142" t="s">
        <v>17</v>
      </c>
      <c r="E1142" t="s">
        <v>25</v>
      </c>
      <c r="F1142">
        <v>2</v>
      </c>
      <c r="G1142">
        <v>397</v>
      </c>
      <c r="H1142">
        <v>794</v>
      </c>
    </row>
    <row r="1143" spans="1:8" x14ac:dyDescent="0.25">
      <c r="A1143" t="s">
        <v>277</v>
      </c>
      <c r="B1143" s="1">
        <v>45084</v>
      </c>
      <c r="C1143" t="s">
        <v>278</v>
      </c>
      <c r="D1143" t="s">
        <v>20</v>
      </c>
      <c r="E1143" t="s">
        <v>14</v>
      </c>
      <c r="F1143">
        <v>1</v>
      </c>
      <c r="G1143">
        <v>792</v>
      </c>
      <c r="H1143">
        <v>792</v>
      </c>
    </row>
    <row r="1144" spans="1:8" x14ac:dyDescent="0.25">
      <c r="A1144" t="s">
        <v>789</v>
      </c>
      <c r="B1144" s="1">
        <v>45124</v>
      </c>
      <c r="C1144" t="s">
        <v>173</v>
      </c>
      <c r="D1144" t="s">
        <v>27</v>
      </c>
      <c r="E1144" t="s">
        <v>32</v>
      </c>
      <c r="F1144">
        <v>1</v>
      </c>
      <c r="G1144">
        <v>790</v>
      </c>
      <c r="H1144">
        <v>790</v>
      </c>
    </row>
    <row r="1145" spans="1:8" x14ac:dyDescent="0.25">
      <c r="A1145" t="s">
        <v>1446</v>
      </c>
      <c r="B1145" s="1">
        <v>45468</v>
      </c>
      <c r="C1145" t="s">
        <v>369</v>
      </c>
      <c r="D1145" t="s">
        <v>10</v>
      </c>
      <c r="E1145" t="s">
        <v>35</v>
      </c>
      <c r="F1145">
        <v>1</v>
      </c>
      <c r="G1145">
        <v>790</v>
      </c>
      <c r="H1145">
        <v>790</v>
      </c>
    </row>
    <row r="1146" spans="1:8" x14ac:dyDescent="0.25">
      <c r="A1146" t="s">
        <v>1036</v>
      </c>
      <c r="B1146" s="1">
        <v>44940</v>
      </c>
      <c r="C1146" t="s">
        <v>1037</v>
      </c>
      <c r="D1146" t="s">
        <v>20</v>
      </c>
      <c r="E1146" t="s">
        <v>25</v>
      </c>
      <c r="F1146">
        <v>3</v>
      </c>
      <c r="G1146">
        <v>263</v>
      </c>
      <c r="H1146">
        <v>789</v>
      </c>
    </row>
    <row r="1147" spans="1:8" x14ac:dyDescent="0.25">
      <c r="A1147" t="s">
        <v>1464</v>
      </c>
      <c r="B1147" s="1">
        <v>45432</v>
      </c>
      <c r="C1147" t="s">
        <v>764</v>
      </c>
      <c r="D1147" t="s">
        <v>27</v>
      </c>
      <c r="E1147" t="s">
        <v>14</v>
      </c>
      <c r="F1147">
        <v>3</v>
      </c>
      <c r="G1147">
        <v>263</v>
      </c>
      <c r="H1147">
        <v>789</v>
      </c>
    </row>
    <row r="1148" spans="1:8" x14ac:dyDescent="0.25">
      <c r="A1148" t="s">
        <v>1700</v>
      </c>
      <c r="B1148" s="1">
        <v>45623</v>
      </c>
      <c r="C1148" t="s">
        <v>57</v>
      </c>
      <c r="D1148" t="s">
        <v>17</v>
      </c>
      <c r="E1148" t="s">
        <v>35</v>
      </c>
      <c r="F1148">
        <v>3</v>
      </c>
      <c r="G1148">
        <v>263</v>
      </c>
      <c r="H1148">
        <v>789</v>
      </c>
    </row>
    <row r="1149" spans="1:8" x14ac:dyDescent="0.25">
      <c r="A1149" t="s">
        <v>1157</v>
      </c>
      <c r="B1149" s="1">
        <v>45281</v>
      </c>
      <c r="C1149" t="s">
        <v>1158</v>
      </c>
      <c r="D1149" t="s">
        <v>17</v>
      </c>
      <c r="E1149" t="s">
        <v>32</v>
      </c>
      <c r="F1149">
        <v>1</v>
      </c>
      <c r="G1149">
        <v>787</v>
      </c>
      <c r="H1149">
        <v>787</v>
      </c>
    </row>
    <row r="1150" spans="1:8" x14ac:dyDescent="0.25">
      <c r="A1150" t="s">
        <v>1298</v>
      </c>
      <c r="B1150" s="1">
        <v>45013</v>
      </c>
      <c r="C1150" t="s">
        <v>82</v>
      </c>
      <c r="D1150" t="s">
        <v>20</v>
      </c>
      <c r="E1150" t="s">
        <v>25</v>
      </c>
      <c r="F1150">
        <v>2</v>
      </c>
      <c r="G1150">
        <v>393</v>
      </c>
      <c r="H1150">
        <v>786</v>
      </c>
    </row>
    <row r="1151" spans="1:8" x14ac:dyDescent="0.25">
      <c r="A1151" t="s">
        <v>1729</v>
      </c>
      <c r="B1151" s="1">
        <v>45032</v>
      </c>
      <c r="C1151" t="s">
        <v>268</v>
      </c>
      <c r="D1151" t="s">
        <v>17</v>
      </c>
      <c r="E1151" t="s">
        <v>11</v>
      </c>
      <c r="F1151">
        <v>1</v>
      </c>
      <c r="G1151">
        <v>785</v>
      </c>
      <c r="H1151">
        <v>785</v>
      </c>
    </row>
    <row r="1152" spans="1:8" x14ac:dyDescent="0.25">
      <c r="A1152" t="s">
        <v>1788</v>
      </c>
      <c r="B1152" s="1">
        <v>45575</v>
      </c>
      <c r="C1152" t="s">
        <v>315</v>
      </c>
      <c r="D1152" t="s">
        <v>10</v>
      </c>
      <c r="E1152" t="s">
        <v>35</v>
      </c>
      <c r="F1152">
        <v>4</v>
      </c>
      <c r="G1152">
        <v>196</v>
      </c>
      <c r="H1152">
        <v>784</v>
      </c>
    </row>
    <row r="1153" spans="1:8" x14ac:dyDescent="0.25">
      <c r="A1153" t="s">
        <v>882</v>
      </c>
      <c r="B1153" s="1">
        <v>45619</v>
      </c>
      <c r="C1153" t="s">
        <v>254</v>
      </c>
      <c r="D1153" t="s">
        <v>20</v>
      </c>
      <c r="E1153" t="s">
        <v>32</v>
      </c>
      <c r="F1153">
        <v>1</v>
      </c>
      <c r="G1153">
        <v>781</v>
      </c>
      <c r="H1153">
        <v>781</v>
      </c>
    </row>
    <row r="1154" spans="1:8" x14ac:dyDescent="0.25">
      <c r="A1154" t="s">
        <v>888</v>
      </c>
      <c r="B1154" s="1">
        <v>45039</v>
      </c>
      <c r="C1154" t="s">
        <v>889</v>
      </c>
      <c r="D1154" t="s">
        <v>17</v>
      </c>
      <c r="E1154" t="s">
        <v>14</v>
      </c>
      <c r="F1154">
        <v>4</v>
      </c>
      <c r="G1154">
        <v>195</v>
      </c>
      <c r="H1154">
        <v>780</v>
      </c>
    </row>
    <row r="1155" spans="1:8" x14ac:dyDescent="0.25">
      <c r="A1155" t="s">
        <v>225</v>
      </c>
      <c r="B1155" s="1">
        <v>45503</v>
      </c>
      <c r="C1155" t="s">
        <v>226</v>
      </c>
      <c r="D1155" t="s">
        <v>10</v>
      </c>
      <c r="E1155" t="s">
        <v>25</v>
      </c>
      <c r="F1155">
        <v>1</v>
      </c>
      <c r="G1155">
        <v>777</v>
      </c>
      <c r="H1155">
        <v>777</v>
      </c>
    </row>
    <row r="1156" spans="1:8" x14ac:dyDescent="0.25">
      <c r="A1156" t="s">
        <v>1516</v>
      </c>
      <c r="B1156" s="1">
        <v>45272</v>
      </c>
      <c r="C1156" t="s">
        <v>647</v>
      </c>
      <c r="D1156" t="s">
        <v>20</v>
      </c>
      <c r="E1156" t="s">
        <v>14</v>
      </c>
      <c r="F1156">
        <v>1</v>
      </c>
      <c r="G1156">
        <v>772</v>
      </c>
      <c r="H1156">
        <v>772</v>
      </c>
    </row>
    <row r="1157" spans="1:8" x14ac:dyDescent="0.25">
      <c r="A1157" t="s">
        <v>510</v>
      </c>
      <c r="B1157" s="1">
        <v>45165</v>
      </c>
      <c r="C1157" t="s">
        <v>313</v>
      </c>
      <c r="D1157" t="s">
        <v>27</v>
      </c>
      <c r="E1157" t="s">
        <v>11</v>
      </c>
      <c r="F1157">
        <v>1</v>
      </c>
      <c r="G1157">
        <v>765</v>
      </c>
      <c r="H1157">
        <v>765</v>
      </c>
    </row>
    <row r="1158" spans="1:8" x14ac:dyDescent="0.25">
      <c r="A1158" t="s">
        <v>901</v>
      </c>
      <c r="B1158" s="1">
        <v>45534</v>
      </c>
      <c r="C1158" t="s">
        <v>177</v>
      </c>
      <c r="D1158" t="s">
        <v>27</v>
      </c>
      <c r="E1158" t="s">
        <v>25</v>
      </c>
      <c r="F1158">
        <v>1</v>
      </c>
      <c r="G1158">
        <v>763</v>
      </c>
      <c r="H1158">
        <v>763</v>
      </c>
    </row>
    <row r="1159" spans="1:8" x14ac:dyDescent="0.25">
      <c r="A1159" t="s">
        <v>1288</v>
      </c>
      <c r="B1159" s="1">
        <v>45306</v>
      </c>
      <c r="C1159" t="s">
        <v>276</v>
      </c>
      <c r="D1159" t="s">
        <v>17</v>
      </c>
      <c r="E1159" t="s">
        <v>14</v>
      </c>
      <c r="F1159">
        <v>2</v>
      </c>
      <c r="G1159">
        <v>380</v>
      </c>
      <c r="H1159">
        <v>760</v>
      </c>
    </row>
    <row r="1160" spans="1:8" x14ac:dyDescent="0.25">
      <c r="A1160" t="s">
        <v>281</v>
      </c>
      <c r="B1160" s="1">
        <v>45140</v>
      </c>
      <c r="C1160" t="s">
        <v>282</v>
      </c>
      <c r="D1160" t="s">
        <v>10</v>
      </c>
      <c r="E1160" t="s">
        <v>35</v>
      </c>
      <c r="F1160">
        <v>3</v>
      </c>
      <c r="G1160">
        <v>253</v>
      </c>
      <c r="H1160">
        <v>759</v>
      </c>
    </row>
    <row r="1161" spans="1:8" x14ac:dyDescent="0.25">
      <c r="A1161" t="s">
        <v>668</v>
      </c>
      <c r="B1161" s="1">
        <v>45600</v>
      </c>
      <c r="C1161" t="s">
        <v>181</v>
      </c>
      <c r="D1161" t="s">
        <v>27</v>
      </c>
      <c r="E1161" t="s">
        <v>11</v>
      </c>
      <c r="F1161">
        <v>3</v>
      </c>
      <c r="G1161">
        <v>252</v>
      </c>
      <c r="H1161">
        <v>756</v>
      </c>
    </row>
    <row r="1162" spans="1:8" x14ac:dyDescent="0.25">
      <c r="A1162" t="s">
        <v>1606</v>
      </c>
      <c r="B1162" s="1">
        <v>45339</v>
      </c>
      <c r="C1162" t="s">
        <v>284</v>
      </c>
      <c r="D1162" t="s">
        <v>20</v>
      </c>
      <c r="E1162" t="s">
        <v>25</v>
      </c>
      <c r="F1162">
        <v>4</v>
      </c>
      <c r="G1162">
        <v>189</v>
      </c>
      <c r="H1162">
        <v>756</v>
      </c>
    </row>
    <row r="1163" spans="1:8" x14ac:dyDescent="0.25">
      <c r="A1163" t="s">
        <v>1033</v>
      </c>
      <c r="B1163" s="1">
        <v>45267</v>
      </c>
      <c r="C1163" t="s">
        <v>373</v>
      </c>
      <c r="D1163" t="s">
        <v>10</v>
      </c>
      <c r="E1163" t="s">
        <v>35</v>
      </c>
      <c r="F1163">
        <v>1</v>
      </c>
      <c r="G1163">
        <v>754</v>
      </c>
      <c r="H1163">
        <v>754</v>
      </c>
    </row>
    <row r="1164" spans="1:8" x14ac:dyDescent="0.25">
      <c r="A1164" t="s">
        <v>1403</v>
      </c>
      <c r="B1164" s="1">
        <v>45085</v>
      </c>
      <c r="C1164" t="s">
        <v>134</v>
      </c>
      <c r="D1164" t="s">
        <v>20</v>
      </c>
      <c r="E1164" t="s">
        <v>35</v>
      </c>
      <c r="F1164">
        <v>2</v>
      </c>
      <c r="G1164">
        <v>377</v>
      </c>
      <c r="H1164">
        <v>754</v>
      </c>
    </row>
    <row r="1165" spans="1:8" x14ac:dyDescent="0.25">
      <c r="A1165" t="s">
        <v>1417</v>
      </c>
      <c r="B1165" s="1">
        <v>45210</v>
      </c>
      <c r="C1165" t="s">
        <v>240</v>
      </c>
      <c r="D1165" t="s">
        <v>10</v>
      </c>
      <c r="E1165" t="s">
        <v>32</v>
      </c>
      <c r="F1165">
        <v>1</v>
      </c>
      <c r="G1165">
        <v>753</v>
      </c>
      <c r="H1165">
        <v>753</v>
      </c>
    </row>
    <row r="1166" spans="1:8" x14ac:dyDescent="0.25">
      <c r="A1166" t="s">
        <v>710</v>
      </c>
      <c r="B1166" s="1">
        <v>45196</v>
      </c>
      <c r="C1166" t="s">
        <v>246</v>
      </c>
      <c r="D1166" t="s">
        <v>27</v>
      </c>
      <c r="E1166" t="s">
        <v>35</v>
      </c>
      <c r="F1166">
        <v>2</v>
      </c>
      <c r="G1166">
        <v>376</v>
      </c>
      <c r="H1166">
        <v>752</v>
      </c>
    </row>
    <row r="1167" spans="1:8" x14ac:dyDescent="0.25">
      <c r="A1167" t="s">
        <v>954</v>
      </c>
      <c r="B1167" s="1">
        <v>45152</v>
      </c>
      <c r="C1167" t="s">
        <v>364</v>
      </c>
      <c r="D1167" t="s">
        <v>17</v>
      </c>
      <c r="E1167" t="s">
        <v>32</v>
      </c>
      <c r="F1167">
        <v>3</v>
      </c>
      <c r="G1167">
        <v>249</v>
      </c>
      <c r="H1167">
        <v>747</v>
      </c>
    </row>
    <row r="1168" spans="1:8" x14ac:dyDescent="0.25">
      <c r="A1168" t="s">
        <v>129</v>
      </c>
      <c r="B1168" s="1">
        <v>45022</v>
      </c>
      <c r="C1168" t="s">
        <v>130</v>
      </c>
      <c r="D1168" t="s">
        <v>20</v>
      </c>
      <c r="E1168" t="s">
        <v>35</v>
      </c>
      <c r="F1168">
        <v>2</v>
      </c>
      <c r="G1168">
        <v>373</v>
      </c>
      <c r="H1168">
        <v>746</v>
      </c>
    </row>
    <row r="1169" spans="1:8" x14ac:dyDescent="0.25">
      <c r="A1169" t="s">
        <v>1129</v>
      </c>
      <c r="B1169" s="1">
        <v>45594</v>
      </c>
      <c r="C1169" t="s">
        <v>336</v>
      </c>
      <c r="D1169" t="s">
        <v>10</v>
      </c>
      <c r="E1169" t="s">
        <v>35</v>
      </c>
      <c r="F1169">
        <v>1</v>
      </c>
      <c r="G1169">
        <v>746</v>
      </c>
      <c r="H1169">
        <v>746</v>
      </c>
    </row>
    <row r="1170" spans="1:8" x14ac:dyDescent="0.25">
      <c r="A1170" t="s">
        <v>192</v>
      </c>
      <c r="B1170" s="1">
        <v>45476</v>
      </c>
      <c r="C1170" t="s">
        <v>181</v>
      </c>
      <c r="D1170" t="s">
        <v>27</v>
      </c>
      <c r="E1170" t="s">
        <v>32</v>
      </c>
      <c r="F1170">
        <v>4</v>
      </c>
      <c r="G1170">
        <v>186</v>
      </c>
      <c r="H1170">
        <v>744</v>
      </c>
    </row>
    <row r="1171" spans="1:8" x14ac:dyDescent="0.25">
      <c r="A1171" t="s">
        <v>1316</v>
      </c>
      <c r="B1171" s="1">
        <v>45101</v>
      </c>
      <c r="C1171" t="s">
        <v>104</v>
      </c>
      <c r="D1171" t="s">
        <v>17</v>
      </c>
      <c r="E1171" t="s">
        <v>11</v>
      </c>
      <c r="F1171">
        <v>1</v>
      </c>
      <c r="G1171">
        <v>743</v>
      </c>
      <c r="H1171">
        <v>743</v>
      </c>
    </row>
    <row r="1172" spans="1:8" x14ac:dyDescent="0.25">
      <c r="A1172" t="s">
        <v>1594</v>
      </c>
      <c r="B1172" s="1">
        <v>45568</v>
      </c>
      <c r="C1172" t="s">
        <v>86</v>
      </c>
      <c r="D1172" t="s">
        <v>17</v>
      </c>
      <c r="E1172" t="s">
        <v>32</v>
      </c>
      <c r="F1172">
        <v>1</v>
      </c>
      <c r="G1172">
        <v>743</v>
      </c>
      <c r="H1172">
        <v>743</v>
      </c>
    </row>
    <row r="1173" spans="1:8" x14ac:dyDescent="0.25">
      <c r="A1173" t="s">
        <v>1536</v>
      </c>
      <c r="B1173" s="1">
        <v>45102</v>
      </c>
      <c r="C1173" t="s">
        <v>1090</v>
      </c>
      <c r="D1173" t="s">
        <v>17</v>
      </c>
      <c r="E1173" t="s">
        <v>35</v>
      </c>
      <c r="F1173">
        <v>1</v>
      </c>
      <c r="G1173">
        <v>742</v>
      </c>
      <c r="H1173">
        <v>742</v>
      </c>
    </row>
    <row r="1174" spans="1:8" x14ac:dyDescent="0.25">
      <c r="A1174" t="s">
        <v>957</v>
      </c>
      <c r="B1174" s="1">
        <v>45310</v>
      </c>
      <c r="C1174" t="s">
        <v>132</v>
      </c>
      <c r="D1174" t="s">
        <v>17</v>
      </c>
      <c r="E1174" t="s">
        <v>11</v>
      </c>
      <c r="F1174">
        <v>5</v>
      </c>
      <c r="G1174">
        <v>148</v>
      </c>
      <c r="H1174">
        <v>740</v>
      </c>
    </row>
    <row r="1175" spans="1:8" x14ac:dyDescent="0.25">
      <c r="A1175" t="s">
        <v>1135</v>
      </c>
      <c r="B1175" s="1">
        <v>45192</v>
      </c>
      <c r="C1175" t="s">
        <v>144</v>
      </c>
      <c r="D1175" t="s">
        <v>10</v>
      </c>
      <c r="E1175" t="s">
        <v>35</v>
      </c>
      <c r="F1175">
        <v>1</v>
      </c>
      <c r="G1175">
        <v>739</v>
      </c>
      <c r="H1175">
        <v>739</v>
      </c>
    </row>
    <row r="1176" spans="1:8" x14ac:dyDescent="0.25">
      <c r="A1176" t="s">
        <v>568</v>
      </c>
      <c r="B1176" s="1">
        <v>45536</v>
      </c>
      <c r="C1176" t="s">
        <v>156</v>
      </c>
      <c r="D1176" t="s">
        <v>17</v>
      </c>
      <c r="E1176" t="s">
        <v>14</v>
      </c>
      <c r="F1176">
        <v>3</v>
      </c>
      <c r="G1176">
        <v>246</v>
      </c>
      <c r="H1176">
        <v>738</v>
      </c>
    </row>
    <row r="1177" spans="1:8" x14ac:dyDescent="0.25">
      <c r="A1177" t="s">
        <v>637</v>
      </c>
      <c r="B1177" s="1">
        <v>45518</v>
      </c>
      <c r="C1177" t="s">
        <v>240</v>
      </c>
      <c r="D1177" t="s">
        <v>17</v>
      </c>
      <c r="E1177" t="s">
        <v>11</v>
      </c>
      <c r="F1177">
        <v>1</v>
      </c>
      <c r="G1177">
        <v>738</v>
      </c>
      <c r="H1177">
        <v>738</v>
      </c>
    </row>
    <row r="1178" spans="1:8" x14ac:dyDescent="0.25">
      <c r="A1178" t="s">
        <v>983</v>
      </c>
      <c r="B1178" s="1">
        <v>44935</v>
      </c>
      <c r="C1178" t="s">
        <v>984</v>
      </c>
      <c r="D1178" t="s">
        <v>10</v>
      </c>
      <c r="E1178" t="s">
        <v>11</v>
      </c>
      <c r="F1178">
        <v>5</v>
      </c>
      <c r="G1178">
        <v>147</v>
      </c>
      <c r="H1178">
        <v>735</v>
      </c>
    </row>
    <row r="1179" spans="1:8" x14ac:dyDescent="0.25">
      <c r="A1179" t="s">
        <v>1664</v>
      </c>
      <c r="B1179" s="1">
        <v>45541</v>
      </c>
      <c r="C1179" t="s">
        <v>979</v>
      </c>
      <c r="D1179" t="s">
        <v>27</v>
      </c>
      <c r="E1179" t="s">
        <v>32</v>
      </c>
      <c r="F1179">
        <v>4</v>
      </c>
      <c r="G1179">
        <v>183</v>
      </c>
      <c r="H1179">
        <v>732</v>
      </c>
    </row>
    <row r="1180" spans="1:8" x14ac:dyDescent="0.25">
      <c r="A1180" t="s">
        <v>1151</v>
      </c>
      <c r="B1180" s="1">
        <v>45346</v>
      </c>
      <c r="C1180" t="s">
        <v>553</v>
      </c>
      <c r="D1180" t="s">
        <v>20</v>
      </c>
      <c r="E1180" t="s">
        <v>35</v>
      </c>
      <c r="F1180">
        <v>2</v>
      </c>
      <c r="G1180">
        <v>365</v>
      </c>
      <c r="H1180">
        <v>730</v>
      </c>
    </row>
    <row r="1181" spans="1:8" x14ac:dyDescent="0.25">
      <c r="A1181" t="s">
        <v>1727</v>
      </c>
      <c r="B1181" s="1">
        <v>45549</v>
      </c>
      <c r="C1181" t="s">
        <v>698</v>
      </c>
      <c r="D1181" t="s">
        <v>17</v>
      </c>
      <c r="E1181" t="s">
        <v>25</v>
      </c>
      <c r="F1181">
        <v>2</v>
      </c>
      <c r="G1181">
        <v>365</v>
      </c>
      <c r="H1181">
        <v>730</v>
      </c>
    </row>
    <row r="1182" spans="1:8" x14ac:dyDescent="0.25">
      <c r="A1182" t="s">
        <v>1409</v>
      </c>
      <c r="B1182" s="1">
        <v>45306</v>
      </c>
      <c r="C1182" t="s">
        <v>463</v>
      </c>
      <c r="D1182" t="s">
        <v>17</v>
      </c>
      <c r="E1182" t="s">
        <v>11</v>
      </c>
      <c r="F1182">
        <v>1</v>
      </c>
      <c r="G1182">
        <v>727</v>
      </c>
      <c r="H1182">
        <v>727</v>
      </c>
    </row>
    <row r="1183" spans="1:8" x14ac:dyDescent="0.25">
      <c r="A1183" t="s">
        <v>971</v>
      </c>
      <c r="B1183" s="1">
        <v>45385</v>
      </c>
      <c r="C1183" t="s">
        <v>268</v>
      </c>
      <c r="D1183" t="s">
        <v>10</v>
      </c>
      <c r="E1183" t="s">
        <v>25</v>
      </c>
      <c r="F1183">
        <v>2</v>
      </c>
      <c r="G1183">
        <v>363</v>
      </c>
      <c r="H1183">
        <v>726</v>
      </c>
    </row>
    <row r="1184" spans="1:8" x14ac:dyDescent="0.25">
      <c r="A1184" t="s">
        <v>1591</v>
      </c>
      <c r="B1184" s="1">
        <v>45142</v>
      </c>
      <c r="C1184" t="s">
        <v>278</v>
      </c>
      <c r="D1184" t="s">
        <v>27</v>
      </c>
      <c r="E1184" t="s">
        <v>14</v>
      </c>
      <c r="F1184">
        <v>2</v>
      </c>
      <c r="G1184">
        <v>363</v>
      </c>
      <c r="H1184">
        <v>726</v>
      </c>
    </row>
    <row r="1185" spans="1:8" x14ac:dyDescent="0.25">
      <c r="A1185" t="s">
        <v>736</v>
      </c>
      <c r="B1185" s="1">
        <v>45210</v>
      </c>
      <c r="C1185" t="s">
        <v>737</v>
      </c>
      <c r="D1185" t="s">
        <v>27</v>
      </c>
      <c r="E1185" t="s">
        <v>32</v>
      </c>
      <c r="F1185">
        <v>5</v>
      </c>
      <c r="G1185">
        <v>145</v>
      </c>
      <c r="H1185">
        <v>725</v>
      </c>
    </row>
    <row r="1186" spans="1:8" x14ac:dyDescent="0.25">
      <c r="A1186" t="s">
        <v>978</v>
      </c>
      <c r="B1186" s="1">
        <v>45566</v>
      </c>
      <c r="C1186" t="s">
        <v>979</v>
      </c>
      <c r="D1186" t="s">
        <v>17</v>
      </c>
      <c r="E1186" t="s">
        <v>35</v>
      </c>
      <c r="F1186">
        <v>2</v>
      </c>
      <c r="G1186">
        <v>362</v>
      </c>
      <c r="H1186">
        <v>724</v>
      </c>
    </row>
    <row r="1187" spans="1:8" x14ac:dyDescent="0.25">
      <c r="A1187" t="s">
        <v>1051</v>
      </c>
      <c r="B1187" s="1">
        <v>45606</v>
      </c>
      <c r="C1187" t="s">
        <v>401</v>
      </c>
      <c r="D1187" t="s">
        <v>10</v>
      </c>
      <c r="E1187" t="s">
        <v>11</v>
      </c>
      <c r="F1187">
        <v>1</v>
      </c>
      <c r="G1187">
        <v>724</v>
      </c>
      <c r="H1187">
        <v>724</v>
      </c>
    </row>
    <row r="1188" spans="1:8" x14ac:dyDescent="0.25">
      <c r="A1188" t="s">
        <v>409</v>
      </c>
      <c r="B1188" s="1">
        <v>45399</v>
      </c>
      <c r="C1188" t="s">
        <v>92</v>
      </c>
      <c r="D1188" t="s">
        <v>17</v>
      </c>
      <c r="E1188" t="s">
        <v>32</v>
      </c>
      <c r="F1188">
        <v>1</v>
      </c>
      <c r="G1188">
        <v>723</v>
      </c>
      <c r="H1188">
        <v>723</v>
      </c>
    </row>
    <row r="1189" spans="1:8" x14ac:dyDescent="0.25">
      <c r="A1189" t="s">
        <v>949</v>
      </c>
      <c r="B1189" s="1">
        <v>45573</v>
      </c>
      <c r="C1189" t="s">
        <v>230</v>
      </c>
      <c r="D1189" t="s">
        <v>27</v>
      </c>
      <c r="E1189" t="s">
        <v>32</v>
      </c>
      <c r="F1189">
        <v>1</v>
      </c>
      <c r="G1189">
        <v>723</v>
      </c>
      <c r="H1189">
        <v>723</v>
      </c>
    </row>
    <row r="1190" spans="1:8" x14ac:dyDescent="0.25">
      <c r="A1190" t="s">
        <v>1560</v>
      </c>
      <c r="B1190" s="1">
        <v>45020</v>
      </c>
      <c r="C1190" t="s">
        <v>132</v>
      </c>
      <c r="D1190" t="s">
        <v>20</v>
      </c>
      <c r="E1190" t="s">
        <v>35</v>
      </c>
      <c r="F1190">
        <v>3</v>
      </c>
      <c r="G1190">
        <v>241</v>
      </c>
      <c r="H1190">
        <v>723</v>
      </c>
    </row>
    <row r="1191" spans="1:8" x14ac:dyDescent="0.25">
      <c r="A1191" t="s">
        <v>296</v>
      </c>
      <c r="B1191" s="1">
        <v>45463</v>
      </c>
      <c r="C1191" t="s">
        <v>88</v>
      </c>
      <c r="D1191" t="s">
        <v>27</v>
      </c>
      <c r="E1191" t="s">
        <v>11</v>
      </c>
      <c r="F1191">
        <v>4</v>
      </c>
      <c r="G1191">
        <v>180</v>
      </c>
      <c r="H1191">
        <v>720</v>
      </c>
    </row>
    <row r="1192" spans="1:8" x14ac:dyDescent="0.25">
      <c r="A1192" t="s">
        <v>1557</v>
      </c>
      <c r="B1192" s="1">
        <v>45392</v>
      </c>
      <c r="C1192" t="s">
        <v>544</v>
      </c>
      <c r="D1192" t="s">
        <v>17</v>
      </c>
      <c r="E1192" t="s">
        <v>14</v>
      </c>
      <c r="F1192">
        <v>2</v>
      </c>
      <c r="G1192">
        <v>360</v>
      </c>
      <c r="H1192">
        <v>720</v>
      </c>
    </row>
    <row r="1193" spans="1:8" x14ac:dyDescent="0.25">
      <c r="A1193" t="s">
        <v>160</v>
      </c>
      <c r="B1193" s="1">
        <v>45361</v>
      </c>
      <c r="C1193" t="s">
        <v>161</v>
      </c>
      <c r="D1193" t="s">
        <v>17</v>
      </c>
      <c r="E1193" t="s">
        <v>32</v>
      </c>
      <c r="F1193">
        <v>2</v>
      </c>
      <c r="G1193">
        <v>358</v>
      </c>
      <c r="H1193">
        <v>716</v>
      </c>
    </row>
    <row r="1194" spans="1:8" x14ac:dyDescent="0.25">
      <c r="A1194" t="s">
        <v>845</v>
      </c>
      <c r="B1194" s="1">
        <v>45092</v>
      </c>
      <c r="C1194" t="s">
        <v>413</v>
      </c>
      <c r="D1194" t="s">
        <v>10</v>
      </c>
      <c r="E1194" t="s">
        <v>14</v>
      </c>
      <c r="F1194">
        <v>2</v>
      </c>
      <c r="G1194">
        <v>358</v>
      </c>
      <c r="H1194">
        <v>716</v>
      </c>
    </row>
    <row r="1195" spans="1:8" x14ac:dyDescent="0.25">
      <c r="A1195" t="s">
        <v>635</v>
      </c>
      <c r="B1195" s="1">
        <v>45414</v>
      </c>
      <c r="C1195" t="s">
        <v>130</v>
      </c>
      <c r="D1195" t="s">
        <v>10</v>
      </c>
      <c r="E1195" t="s">
        <v>32</v>
      </c>
      <c r="F1195">
        <v>4</v>
      </c>
      <c r="G1195">
        <v>178</v>
      </c>
      <c r="H1195">
        <v>712</v>
      </c>
    </row>
    <row r="1196" spans="1:8" x14ac:dyDescent="0.25">
      <c r="A1196" t="s">
        <v>1201</v>
      </c>
      <c r="B1196" s="1">
        <v>44941</v>
      </c>
      <c r="C1196" t="s">
        <v>292</v>
      </c>
      <c r="D1196" t="s">
        <v>20</v>
      </c>
      <c r="E1196" t="s">
        <v>11</v>
      </c>
      <c r="F1196">
        <v>3</v>
      </c>
      <c r="G1196">
        <v>237</v>
      </c>
      <c r="H1196">
        <v>711</v>
      </c>
    </row>
    <row r="1197" spans="1:8" x14ac:dyDescent="0.25">
      <c r="A1197" t="s">
        <v>1274</v>
      </c>
      <c r="B1197" s="1">
        <v>45571</v>
      </c>
      <c r="C1197" t="s">
        <v>704</v>
      </c>
      <c r="D1197" t="s">
        <v>17</v>
      </c>
      <c r="E1197" t="s">
        <v>32</v>
      </c>
      <c r="F1197">
        <v>3</v>
      </c>
      <c r="G1197">
        <v>237</v>
      </c>
      <c r="H1197">
        <v>711</v>
      </c>
    </row>
    <row r="1198" spans="1:8" x14ac:dyDescent="0.25">
      <c r="A1198" t="s">
        <v>1745</v>
      </c>
      <c r="B1198" s="1">
        <v>45509</v>
      </c>
      <c r="C1198" t="s">
        <v>1450</v>
      </c>
      <c r="D1198" t="s">
        <v>20</v>
      </c>
      <c r="E1198" t="s">
        <v>25</v>
      </c>
      <c r="F1198">
        <v>1</v>
      </c>
      <c r="G1198">
        <v>709</v>
      </c>
      <c r="H1198">
        <v>709</v>
      </c>
    </row>
    <row r="1199" spans="1:8" x14ac:dyDescent="0.25">
      <c r="A1199" t="s">
        <v>992</v>
      </c>
      <c r="B1199" s="1">
        <v>45553</v>
      </c>
      <c r="C1199" t="s">
        <v>322</v>
      </c>
      <c r="D1199" t="s">
        <v>17</v>
      </c>
      <c r="E1199" t="s">
        <v>32</v>
      </c>
      <c r="F1199">
        <v>1</v>
      </c>
      <c r="G1199">
        <v>707</v>
      </c>
      <c r="H1199">
        <v>707</v>
      </c>
    </row>
    <row r="1200" spans="1:8" x14ac:dyDescent="0.25">
      <c r="A1200" t="s">
        <v>750</v>
      </c>
      <c r="B1200" s="1">
        <v>45463</v>
      </c>
      <c r="C1200" t="s">
        <v>261</v>
      </c>
      <c r="D1200" t="s">
        <v>10</v>
      </c>
      <c r="E1200" t="s">
        <v>32</v>
      </c>
      <c r="F1200">
        <v>3</v>
      </c>
      <c r="G1200">
        <v>235</v>
      </c>
      <c r="H1200">
        <v>705</v>
      </c>
    </row>
    <row r="1201" spans="1:8" x14ac:dyDescent="0.25">
      <c r="A1201" t="s">
        <v>1489</v>
      </c>
      <c r="B1201" s="1">
        <v>45293</v>
      </c>
      <c r="C1201" t="s">
        <v>477</v>
      </c>
      <c r="D1201" t="s">
        <v>17</v>
      </c>
      <c r="E1201" t="s">
        <v>35</v>
      </c>
      <c r="F1201">
        <v>4</v>
      </c>
      <c r="G1201">
        <v>176</v>
      </c>
      <c r="H1201">
        <v>704</v>
      </c>
    </row>
    <row r="1202" spans="1:8" x14ac:dyDescent="0.25">
      <c r="A1202" t="s">
        <v>1499</v>
      </c>
      <c r="B1202" s="1">
        <v>45305</v>
      </c>
      <c r="C1202" t="s">
        <v>144</v>
      </c>
      <c r="D1202" t="s">
        <v>27</v>
      </c>
      <c r="E1202" t="s">
        <v>14</v>
      </c>
      <c r="F1202">
        <v>2</v>
      </c>
      <c r="G1202">
        <v>352</v>
      </c>
      <c r="H1202">
        <v>704</v>
      </c>
    </row>
    <row r="1203" spans="1:8" x14ac:dyDescent="0.25">
      <c r="A1203" t="s">
        <v>899</v>
      </c>
      <c r="B1203" s="1">
        <v>45542</v>
      </c>
      <c r="C1203" t="s">
        <v>369</v>
      </c>
      <c r="D1203" t="s">
        <v>17</v>
      </c>
      <c r="E1203" t="s">
        <v>35</v>
      </c>
      <c r="F1203">
        <v>1</v>
      </c>
      <c r="G1203">
        <v>702</v>
      </c>
      <c r="H1203">
        <v>702</v>
      </c>
    </row>
    <row r="1204" spans="1:8" x14ac:dyDescent="0.25">
      <c r="A1204" t="s">
        <v>1708</v>
      </c>
      <c r="B1204" s="1">
        <v>45181</v>
      </c>
      <c r="C1204" t="s">
        <v>268</v>
      </c>
      <c r="D1204" t="s">
        <v>27</v>
      </c>
      <c r="E1204" t="s">
        <v>25</v>
      </c>
      <c r="F1204">
        <v>3</v>
      </c>
      <c r="G1204">
        <v>234</v>
      </c>
      <c r="H1204">
        <v>702</v>
      </c>
    </row>
    <row r="1205" spans="1:8" x14ac:dyDescent="0.25">
      <c r="A1205" t="s">
        <v>519</v>
      </c>
      <c r="B1205" s="1">
        <v>45478</v>
      </c>
      <c r="C1205" t="s">
        <v>367</v>
      </c>
      <c r="D1205" t="s">
        <v>17</v>
      </c>
      <c r="E1205" t="s">
        <v>11</v>
      </c>
      <c r="F1205">
        <v>5</v>
      </c>
      <c r="G1205">
        <v>140</v>
      </c>
      <c r="H1205">
        <v>700</v>
      </c>
    </row>
    <row r="1206" spans="1:8" x14ac:dyDescent="0.25">
      <c r="A1206" t="s">
        <v>859</v>
      </c>
      <c r="B1206" s="1">
        <v>45467</v>
      </c>
      <c r="C1206" t="s">
        <v>454</v>
      </c>
      <c r="D1206" t="s">
        <v>20</v>
      </c>
      <c r="E1206" t="s">
        <v>35</v>
      </c>
      <c r="F1206">
        <v>2</v>
      </c>
      <c r="G1206">
        <v>349</v>
      </c>
      <c r="H1206">
        <v>698</v>
      </c>
    </row>
    <row r="1207" spans="1:8" x14ac:dyDescent="0.25">
      <c r="A1207" t="s">
        <v>239</v>
      </c>
      <c r="B1207" s="1">
        <v>45429</v>
      </c>
      <c r="C1207" t="s">
        <v>240</v>
      </c>
      <c r="D1207" t="s">
        <v>17</v>
      </c>
      <c r="E1207" t="s">
        <v>25</v>
      </c>
      <c r="F1207">
        <v>2</v>
      </c>
      <c r="G1207">
        <v>348</v>
      </c>
      <c r="H1207">
        <v>696</v>
      </c>
    </row>
    <row r="1208" spans="1:8" x14ac:dyDescent="0.25">
      <c r="A1208" t="s">
        <v>376</v>
      </c>
      <c r="B1208" s="1">
        <v>45421</v>
      </c>
      <c r="C1208" t="s">
        <v>377</v>
      </c>
      <c r="D1208" t="s">
        <v>20</v>
      </c>
      <c r="E1208" t="s">
        <v>25</v>
      </c>
      <c r="F1208">
        <v>3</v>
      </c>
      <c r="G1208">
        <v>232</v>
      </c>
      <c r="H1208">
        <v>696</v>
      </c>
    </row>
    <row r="1209" spans="1:8" x14ac:dyDescent="0.25">
      <c r="A1209" t="s">
        <v>1349</v>
      </c>
      <c r="B1209" s="1">
        <v>45597</v>
      </c>
      <c r="C1209" t="s">
        <v>326</v>
      </c>
      <c r="D1209" t="s">
        <v>17</v>
      </c>
      <c r="E1209" t="s">
        <v>14</v>
      </c>
      <c r="F1209">
        <v>4</v>
      </c>
      <c r="G1209">
        <v>174</v>
      </c>
      <c r="H1209">
        <v>696</v>
      </c>
    </row>
    <row r="1210" spans="1:8" x14ac:dyDescent="0.25">
      <c r="A1210" t="s">
        <v>1422</v>
      </c>
      <c r="B1210" s="1">
        <v>45561</v>
      </c>
      <c r="C1210" t="s">
        <v>373</v>
      </c>
      <c r="D1210" t="s">
        <v>10</v>
      </c>
      <c r="E1210" t="s">
        <v>32</v>
      </c>
      <c r="F1210">
        <v>1</v>
      </c>
      <c r="G1210">
        <v>693</v>
      </c>
      <c r="H1210">
        <v>693</v>
      </c>
    </row>
    <row r="1211" spans="1:8" x14ac:dyDescent="0.25">
      <c r="A1211" t="s">
        <v>810</v>
      </c>
      <c r="B1211" s="1">
        <v>44998</v>
      </c>
      <c r="C1211" t="s">
        <v>140</v>
      </c>
      <c r="D1211" t="s">
        <v>17</v>
      </c>
      <c r="E1211" t="s">
        <v>11</v>
      </c>
      <c r="F1211">
        <v>1</v>
      </c>
      <c r="G1211">
        <v>692</v>
      </c>
      <c r="H1211">
        <v>692</v>
      </c>
    </row>
    <row r="1212" spans="1:8" x14ac:dyDescent="0.25">
      <c r="A1212" t="s">
        <v>1657</v>
      </c>
      <c r="B1212" s="1">
        <v>45436</v>
      </c>
      <c r="C1212" t="s">
        <v>420</v>
      </c>
      <c r="D1212" t="s">
        <v>10</v>
      </c>
      <c r="E1212" t="s">
        <v>32</v>
      </c>
      <c r="F1212">
        <v>1</v>
      </c>
      <c r="G1212">
        <v>692</v>
      </c>
      <c r="H1212">
        <v>692</v>
      </c>
    </row>
    <row r="1213" spans="1:8" x14ac:dyDescent="0.25">
      <c r="A1213" t="s">
        <v>686</v>
      </c>
      <c r="B1213" s="1">
        <v>45618</v>
      </c>
      <c r="C1213" t="s">
        <v>256</v>
      </c>
      <c r="D1213" t="s">
        <v>10</v>
      </c>
      <c r="E1213" t="s">
        <v>35</v>
      </c>
      <c r="F1213">
        <v>2</v>
      </c>
      <c r="G1213">
        <v>343</v>
      </c>
      <c r="H1213">
        <v>686</v>
      </c>
    </row>
    <row r="1214" spans="1:8" x14ac:dyDescent="0.25">
      <c r="A1214" t="s">
        <v>1787</v>
      </c>
      <c r="B1214" s="1">
        <v>44965</v>
      </c>
      <c r="C1214" t="s">
        <v>870</v>
      </c>
      <c r="D1214" t="s">
        <v>10</v>
      </c>
      <c r="E1214" t="s">
        <v>35</v>
      </c>
      <c r="F1214">
        <v>3</v>
      </c>
      <c r="G1214">
        <v>228</v>
      </c>
      <c r="H1214">
        <v>684</v>
      </c>
    </row>
    <row r="1215" spans="1:8" x14ac:dyDescent="0.25">
      <c r="A1215" t="s">
        <v>869</v>
      </c>
      <c r="B1215" s="1">
        <v>45384</v>
      </c>
      <c r="C1215" t="s">
        <v>870</v>
      </c>
      <c r="D1215" t="s">
        <v>10</v>
      </c>
      <c r="E1215" t="s">
        <v>35</v>
      </c>
      <c r="F1215">
        <v>4</v>
      </c>
      <c r="G1215">
        <v>170</v>
      </c>
      <c r="H1215">
        <v>680</v>
      </c>
    </row>
    <row r="1216" spans="1:8" x14ac:dyDescent="0.25">
      <c r="A1216" t="s">
        <v>749</v>
      </c>
      <c r="B1216" s="1">
        <v>45062</v>
      </c>
      <c r="C1216" t="s">
        <v>289</v>
      </c>
      <c r="D1216" t="s">
        <v>17</v>
      </c>
      <c r="E1216" t="s">
        <v>14</v>
      </c>
      <c r="F1216">
        <v>1</v>
      </c>
      <c r="G1216">
        <v>679</v>
      </c>
      <c r="H1216">
        <v>679</v>
      </c>
    </row>
    <row r="1217" spans="1:8" x14ac:dyDescent="0.25">
      <c r="A1217" t="s">
        <v>1111</v>
      </c>
      <c r="B1217" s="1">
        <v>45478</v>
      </c>
      <c r="C1217" t="s">
        <v>16</v>
      </c>
      <c r="D1217" t="s">
        <v>17</v>
      </c>
      <c r="E1217" t="s">
        <v>25</v>
      </c>
      <c r="F1217">
        <v>3</v>
      </c>
      <c r="G1217">
        <v>226</v>
      </c>
      <c r="H1217">
        <v>678</v>
      </c>
    </row>
    <row r="1218" spans="1:8" x14ac:dyDescent="0.25">
      <c r="A1218" t="s">
        <v>745</v>
      </c>
      <c r="B1218" s="1">
        <v>45616</v>
      </c>
      <c r="C1218" t="s">
        <v>367</v>
      </c>
      <c r="D1218" t="s">
        <v>10</v>
      </c>
      <c r="E1218" t="s">
        <v>14</v>
      </c>
      <c r="F1218">
        <v>4</v>
      </c>
      <c r="G1218">
        <v>168</v>
      </c>
      <c r="H1218">
        <v>672</v>
      </c>
    </row>
    <row r="1219" spans="1:8" x14ac:dyDescent="0.25">
      <c r="A1219" t="s">
        <v>924</v>
      </c>
      <c r="B1219" s="1">
        <v>45610</v>
      </c>
      <c r="C1219" t="s">
        <v>439</v>
      </c>
      <c r="D1219" t="s">
        <v>17</v>
      </c>
      <c r="E1219" t="s">
        <v>32</v>
      </c>
      <c r="F1219">
        <v>5</v>
      </c>
      <c r="G1219">
        <v>134</v>
      </c>
      <c r="H1219">
        <v>670</v>
      </c>
    </row>
    <row r="1220" spans="1:8" x14ac:dyDescent="0.25">
      <c r="A1220" t="s">
        <v>124</v>
      </c>
      <c r="B1220" s="1">
        <v>45494</v>
      </c>
      <c r="C1220" t="s">
        <v>125</v>
      </c>
      <c r="D1220" t="s">
        <v>27</v>
      </c>
      <c r="E1220" t="s">
        <v>14</v>
      </c>
      <c r="F1220">
        <v>1</v>
      </c>
      <c r="G1220">
        <v>669</v>
      </c>
      <c r="H1220">
        <v>669</v>
      </c>
    </row>
    <row r="1221" spans="1:8" x14ac:dyDescent="0.25">
      <c r="A1221" t="s">
        <v>1056</v>
      </c>
      <c r="B1221" s="1">
        <v>45279</v>
      </c>
      <c r="C1221" t="s">
        <v>647</v>
      </c>
      <c r="D1221" t="s">
        <v>17</v>
      </c>
      <c r="E1221" t="s">
        <v>11</v>
      </c>
      <c r="F1221">
        <v>1</v>
      </c>
      <c r="G1221">
        <v>668</v>
      </c>
      <c r="H1221">
        <v>668</v>
      </c>
    </row>
    <row r="1222" spans="1:8" x14ac:dyDescent="0.25">
      <c r="A1222" t="s">
        <v>601</v>
      </c>
      <c r="B1222" s="1">
        <v>45530</v>
      </c>
      <c r="C1222" t="s">
        <v>248</v>
      </c>
      <c r="D1222" t="s">
        <v>20</v>
      </c>
      <c r="E1222" t="s">
        <v>25</v>
      </c>
      <c r="F1222">
        <v>2</v>
      </c>
      <c r="G1222">
        <v>332</v>
      </c>
      <c r="H1222">
        <v>664</v>
      </c>
    </row>
    <row r="1223" spans="1:8" x14ac:dyDescent="0.25">
      <c r="A1223" t="s">
        <v>702</v>
      </c>
      <c r="B1223" s="1">
        <v>45026</v>
      </c>
      <c r="C1223" t="s">
        <v>326</v>
      </c>
      <c r="D1223" t="s">
        <v>10</v>
      </c>
      <c r="E1223" t="s">
        <v>11</v>
      </c>
      <c r="F1223">
        <v>2</v>
      </c>
      <c r="G1223">
        <v>332</v>
      </c>
      <c r="H1223">
        <v>664</v>
      </c>
    </row>
    <row r="1224" spans="1:8" x14ac:dyDescent="0.25">
      <c r="A1224" t="s">
        <v>1240</v>
      </c>
      <c r="B1224" s="1">
        <v>45424</v>
      </c>
      <c r="C1224" t="s">
        <v>82</v>
      </c>
      <c r="D1224" t="s">
        <v>10</v>
      </c>
      <c r="E1224" t="s">
        <v>25</v>
      </c>
      <c r="F1224">
        <v>4</v>
      </c>
      <c r="G1224">
        <v>166</v>
      </c>
      <c r="H1224">
        <v>664</v>
      </c>
    </row>
    <row r="1225" spans="1:8" x14ac:dyDescent="0.25">
      <c r="A1225" t="s">
        <v>1325</v>
      </c>
      <c r="B1225" s="1">
        <v>45594</v>
      </c>
      <c r="C1225" t="s">
        <v>199</v>
      </c>
      <c r="D1225" t="s">
        <v>20</v>
      </c>
      <c r="E1225" t="s">
        <v>25</v>
      </c>
      <c r="F1225">
        <v>4</v>
      </c>
      <c r="G1225">
        <v>166</v>
      </c>
      <c r="H1225">
        <v>664</v>
      </c>
    </row>
    <row r="1226" spans="1:8" x14ac:dyDescent="0.25">
      <c r="A1226" t="s">
        <v>1750</v>
      </c>
      <c r="B1226" s="1">
        <v>45167</v>
      </c>
      <c r="C1226" t="s">
        <v>326</v>
      </c>
      <c r="D1226" t="s">
        <v>20</v>
      </c>
      <c r="E1226" t="s">
        <v>35</v>
      </c>
      <c r="F1226">
        <v>1</v>
      </c>
      <c r="G1226">
        <v>664</v>
      </c>
      <c r="H1226">
        <v>664</v>
      </c>
    </row>
    <row r="1227" spans="1:8" x14ac:dyDescent="0.25">
      <c r="A1227" t="s">
        <v>1123</v>
      </c>
      <c r="B1227" s="1">
        <v>45272</v>
      </c>
      <c r="C1227" t="s">
        <v>115</v>
      </c>
      <c r="D1227" t="s">
        <v>10</v>
      </c>
      <c r="E1227" t="s">
        <v>35</v>
      </c>
      <c r="F1227">
        <v>3</v>
      </c>
      <c r="G1227">
        <v>221</v>
      </c>
      <c r="H1227">
        <v>663</v>
      </c>
    </row>
    <row r="1228" spans="1:8" x14ac:dyDescent="0.25">
      <c r="A1228" t="s">
        <v>1258</v>
      </c>
      <c r="B1228" s="1">
        <v>45075</v>
      </c>
      <c r="C1228" t="s">
        <v>216</v>
      </c>
      <c r="D1228" t="s">
        <v>17</v>
      </c>
      <c r="E1228" t="s">
        <v>32</v>
      </c>
      <c r="F1228">
        <v>2</v>
      </c>
      <c r="G1228">
        <v>331</v>
      </c>
      <c r="H1228">
        <v>662</v>
      </c>
    </row>
    <row r="1229" spans="1:8" x14ac:dyDescent="0.25">
      <c r="A1229" t="s">
        <v>522</v>
      </c>
      <c r="B1229" s="1">
        <v>45369</v>
      </c>
      <c r="C1229" t="s">
        <v>306</v>
      </c>
      <c r="D1229" t="s">
        <v>10</v>
      </c>
      <c r="E1229" t="s">
        <v>35</v>
      </c>
      <c r="F1229">
        <v>4</v>
      </c>
      <c r="G1229">
        <v>165</v>
      </c>
      <c r="H1229">
        <v>660</v>
      </c>
    </row>
    <row r="1230" spans="1:8" x14ac:dyDescent="0.25">
      <c r="A1230" t="s">
        <v>1631</v>
      </c>
      <c r="B1230" s="1">
        <v>45230</v>
      </c>
      <c r="C1230" t="s">
        <v>371</v>
      </c>
      <c r="D1230" t="s">
        <v>10</v>
      </c>
      <c r="E1230" t="s">
        <v>25</v>
      </c>
      <c r="F1230">
        <v>3</v>
      </c>
      <c r="G1230">
        <v>220</v>
      </c>
      <c r="H1230">
        <v>660</v>
      </c>
    </row>
    <row r="1231" spans="1:8" x14ac:dyDescent="0.25">
      <c r="A1231" t="s">
        <v>26</v>
      </c>
      <c r="B1231" s="1">
        <v>45109</v>
      </c>
      <c r="C1231" t="s">
        <v>19</v>
      </c>
      <c r="D1231" t="s">
        <v>27</v>
      </c>
      <c r="E1231" t="s">
        <v>11</v>
      </c>
      <c r="F1231">
        <v>1</v>
      </c>
      <c r="G1231">
        <v>654</v>
      </c>
      <c r="H1231">
        <v>654</v>
      </c>
    </row>
    <row r="1232" spans="1:8" x14ac:dyDescent="0.25">
      <c r="A1232" t="s">
        <v>1161</v>
      </c>
      <c r="B1232" s="1">
        <v>45071</v>
      </c>
      <c r="C1232" t="s">
        <v>322</v>
      </c>
      <c r="D1232" t="s">
        <v>17</v>
      </c>
      <c r="E1232" t="s">
        <v>35</v>
      </c>
      <c r="F1232">
        <v>2</v>
      </c>
      <c r="G1232">
        <v>327</v>
      </c>
      <c r="H1232">
        <v>654</v>
      </c>
    </row>
    <row r="1233" spans="1:8" x14ac:dyDescent="0.25">
      <c r="A1233" t="s">
        <v>275</v>
      </c>
      <c r="B1233" s="1">
        <v>44991</v>
      </c>
      <c r="C1233" t="s">
        <v>276</v>
      </c>
      <c r="D1233" t="s">
        <v>17</v>
      </c>
      <c r="E1233" t="s">
        <v>11</v>
      </c>
      <c r="F1233">
        <v>1</v>
      </c>
      <c r="G1233">
        <v>652</v>
      </c>
      <c r="H1233">
        <v>652</v>
      </c>
    </row>
    <row r="1234" spans="1:8" x14ac:dyDescent="0.25">
      <c r="A1234" t="s">
        <v>575</v>
      </c>
      <c r="B1234" s="1">
        <v>45230</v>
      </c>
      <c r="C1234" t="s">
        <v>41</v>
      </c>
      <c r="D1234" t="s">
        <v>17</v>
      </c>
      <c r="E1234" t="s">
        <v>14</v>
      </c>
      <c r="F1234">
        <v>1</v>
      </c>
      <c r="G1234">
        <v>652</v>
      </c>
      <c r="H1234">
        <v>652</v>
      </c>
    </row>
    <row r="1235" spans="1:8" x14ac:dyDescent="0.25">
      <c r="A1235" t="s">
        <v>1480</v>
      </c>
      <c r="B1235" s="1">
        <v>44967</v>
      </c>
      <c r="C1235" t="s">
        <v>69</v>
      </c>
      <c r="D1235" t="s">
        <v>10</v>
      </c>
      <c r="E1235" t="s">
        <v>11</v>
      </c>
      <c r="F1235">
        <v>5</v>
      </c>
      <c r="G1235">
        <v>130</v>
      </c>
      <c r="H1235">
        <v>650</v>
      </c>
    </row>
    <row r="1236" spans="1:8" x14ac:dyDescent="0.25">
      <c r="A1236" t="s">
        <v>1593</v>
      </c>
      <c r="B1236" s="1">
        <v>45582</v>
      </c>
      <c r="C1236" t="s">
        <v>764</v>
      </c>
      <c r="D1236" t="s">
        <v>10</v>
      </c>
      <c r="E1236" t="s">
        <v>32</v>
      </c>
      <c r="F1236">
        <v>1</v>
      </c>
      <c r="G1236">
        <v>649</v>
      </c>
      <c r="H1236">
        <v>649</v>
      </c>
    </row>
    <row r="1237" spans="1:8" x14ac:dyDescent="0.25">
      <c r="A1237" t="s">
        <v>1812</v>
      </c>
      <c r="B1237" s="1">
        <v>45522</v>
      </c>
      <c r="C1237" t="s">
        <v>282</v>
      </c>
      <c r="D1237" t="s">
        <v>10</v>
      </c>
      <c r="E1237" t="s">
        <v>11</v>
      </c>
      <c r="F1237">
        <v>1</v>
      </c>
      <c r="G1237">
        <v>649</v>
      </c>
      <c r="H1237">
        <v>649</v>
      </c>
    </row>
    <row r="1238" spans="1:8" x14ac:dyDescent="0.25">
      <c r="A1238" t="s">
        <v>1128</v>
      </c>
      <c r="B1238" s="1">
        <v>45256</v>
      </c>
      <c r="C1238" t="s">
        <v>185</v>
      </c>
      <c r="D1238" t="s">
        <v>17</v>
      </c>
      <c r="E1238" t="s">
        <v>25</v>
      </c>
      <c r="F1238">
        <v>1</v>
      </c>
      <c r="G1238">
        <v>648</v>
      </c>
      <c r="H1238">
        <v>648</v>
      </c>
    </row>
    <row r="1239" spans="1:8" x14ac:dyDescent="0.25">
      <c r="A1239" t="s">
        <v>1781</v>
      </c>
      <c r="B1239" s="1">
        <v>45394</v>
      </c>
      <c r="C1239" t="s">
        <v>1672</v>
      </c>
      <c r="D1239" t="s">
        <v>27</v>
      </c>
      <c r="E1239" t="s">
        <v>32</v>
      </c>
      <c r="F1239">
        <v>2</v>
      </c>
      <c r="G1239">
        <v>324</v>
      </c>
      <c r="H1239">
        <v>648</v>
      </c>
    </row>
    <row r="1240" spans="1:8" x14ac:dyDescent="0.25">
      <c r="A1240" t="s">
        <v>1800</v>
      </c>
      <c r="B1240" s="1">
        <v>45314</v>
      </c>
      <c r="C1240" t="s">
        <v>432</v>
      </c>
      <c r="D1240" t="s">
        <v>17</v>
      </c>
      <c r="E1240" t="s">
        <v>25</v>
      </c>
      <c r="F1240">
        <v>1</v>
      </c>
      <c r="G1240">
        <v>646</v>
      </c>
      <c r="H1240">
        <v>646</v>
      </c>
    </row>
    <row r="1241" spans="1:8" x14ac:dyDescent="0.25">
      <c r="A1241" t="s">
        <v>537</v>
      </c>
      <c r="B1241" s="1">
        <v>45012</v>
      </c>
      <c r="C1241" t="s">
        <v>538</v>
      </c>
      <c r="D1241" t="s">
        <v>10</v>
      </c>
      <c r="E1241" t="s">
        <v>14</v>
      </c>
      <c r="F1241">
        <v>2</v>
      </c>
      <c r="G1241">
        <v>321</v>
      </c>
      <c r="H1241">
        <v>642</v>
      </c>
    </row>
    <row r="1242" spans="1:8" x14ac:dyDescent="0.25">
      <c r="A1242" t="s">
        <v>1073</v>
      </c>
      <c r="B1242" s="1">
        <v>45582</v>
      </c>
      <c r="C1242" t="s">
        <v>675</v>
      </c>
      <c r="D1242" t="s">
        <v>17</v>
      </c>
      <c r="E1242" t="s">
        <v>35</v>
      </c>
      <c r="F1242">
        <v>3</v>
      </c>
      <c r="G1242">
        <v>214</v>
      </c>
      <c r="H1242">
        <v>642</v>
      </c>
    </row>
    <row r="1243" spans="1:8" x14ac:dyDescent="0.25">
      <c r="A1243" t="s">
        <v>852</v>
      </c>
      <c r="B1243" s="1">
        <v>45154</v>
      </c>
      <c r="C1243" t="s">
        <v>115</v>
      </c>
      <c r="D1243" t="s">
        <v>20</v>
      </c>
      <c r="E1243" t="s">
        <v>35</v>
      </c>
      <c r="F1243">
        <v>1</v>
      </c>
      <c r="G1243">
        <v>640</v>
      </c>
      <c r="H1243">
        <v>640</v>
      </c>
    </row>
    <row r="1244" spans="1:8" x14ac:dyDescent="0.25">
      <c r="A1244" t="s">
        <v>604</v>
      </c>
      <c r="B1244" s="1">
        <v>45412</v>
      </c>
      <c r="C1244" t="s">
        <v>605</v>
      </c>
      <c r="D1244" t="s">
        <v>10</v>
      </c>
      <c r="E1244" t="s">
        <v>32</v>
      </c>
      <c r="F1244">
        <v>3</v>
      </c>
      <c r="G1244">
        <v>213</v>
      </c>
      <c r="H1244">
        <v>639</v>
      </c>
    </row>
    <row r="1245" spans="1:8" x14ac:dyDescent="0.25">
      <c r="A1245" t="s">
        <v>700</v>
      </c>
      <c r="B1245" s="1">
        <v>45111</v>
      </c>
      <c r="C1245" t="s">
        <v>248</v>
      </c>
      <c r="D1245" t="s">
        <v>17</v>
      </c>
      <c r="E1245" t="s">
        <v>25</v>
      </c>
      <c r="F1245">
        <v>1</v>
      </c>
      <c r="G1245">
        <v>639</v>
      </c>
      <c r="H1245">
        <v>639</v>
      </c>
    </row>
    <row r="1246" spans="1:8" x14ac:dyDescent="0.25">
      <c r="A1246" t="s">
        <v>167</v>
      </c>
      <c r="B1246" s="1">
        <v>45300</v>
      </c>
      <c r="C1246" t="s">
        <v>154</v>
      </c>
      <c r="D1246" t="s">
        <v>10</v>
      </c>
      <c r="E1246" t="s">
        <v>11</v>
      </c>
      <c r="F1246">
        <v>5</v>
      </c>
      <c r="G1246">
        <v>127</v>
      </c>
      <c r="H1246">
        <v>635</v>
      </c>
    </row>
    <row r="1247" spans="1:8" x14ac:dyDescent="0.25">
      <c r="A1247" t="s">
        <v>50</v>
      </c>
      <c r="B1247" s="1">
        <v>45288</v>
      </c>
      <c r="C1247" t="s">
        <v>51</v>
      </c>
      <c r="D1247" t="s">
        <v>10</v>
      </c>
      <c r="E1247" t="s">
        <v>14</v>
      </c>
      <c r="F1247">
        <v>4</v>
      </c>
      <c r="G1247">
        <v>158</v>
      </c>
      <c r="H1247">
        <v>632</v>
      </c>
    </row>
    <row r="1248" spans="1:8" x14ac:dyDescent="0.25">
      <c r="A1248" t="s">
        <v>1391</v>
      </c>
      <c r="B1248" s="1">
        <v>45441</v>
      </c>
      <c r="C1248" t="s">
        <v>201</v>
      </c>
      <c r="D1248" t="s">
        <v>27</v>
      </c>
      <c r="E1248" t="s">
        <v>14</v>
      </c>
      <c r="F1248">
        <v>1</v>
      </c>
      <c r="G1248">
        <v>632</v>
      </c>
      <c r="H1248">
        <v>632</v>
      </c>
    </row>
    <row r="1249" spans="1:8" x14ac:dyDescent="0.25">
      <c r="A1249" t="s">
        <v>485</v>
      </c>
      <c r="B1249" s="1">
        <v>45567</v>
      </c>
      <c r="C1249" t="s">
        <v>59</v>
      </c>
      <c r="D1249" t="s">
        <v>27</v>
      </c>
      <c r="E1249" t="s">
        <v>11</v>
      </c>
      <c r="F1249">
        <v>1</v>
      </c>
      <c r="G1249">
        <v>630</v>
      </c>
      <c r="H1249">
        <v>630</v>
      </c>
    </row>
    <row r="1250" spans="1:8" x14ac:dyDescent="0.25">
      <c r="A1250" t="s">
        <v>867</v>
      </c>
      <c r="B1250" s="1">
        <v>45384</v>
      </c>
      <c r="C1250" t="s">
        <v>138</v>
      </c>
      <c r="D1250" t="s">
        <v>17</v>
      </c>
      <c r="E1250" t="s">
        <v>25</v>
      </c>
      <c r="F1250">
        <v>5</v>
      </c>
      <c r="G1250">
        <v>126</v>
      </c>
      <c r="H1250">
        <v>630</v>
      </c>
    </row>
    <row r="1251" spans="1:8" x14ac:dyDescent="0.25">
      <c r="A1251" t="s">
        <v>1223</v>
      </c>
      <c r="B1251" s="1">
        <v>45459</v>
      </c>
      <c r="C1251" t="s">
        <v>452</v>
      </c>
      <c r="D1251" t="s">
        <v>27</v>
      </c>
      <c r="E1251" t="s">
        <v>14</v>
      </c>
      <c r="F1251">
        <v>2</v>
      </c>
      <c r="G1251">
        <v>315</v>
      </c>
      <c r="H1251">
        <v>630</v>
      </c>
    </row>
    <row r="1252" spans="1:8" x14ac:dyDescent="0.25">
      <c r="A1252" t="s">
        <v>1269</v>
      </c>
      <c r="B1252" s="1">
        <v>44942</v>
      </c>
      <c r="C1252" t="s">
        <v>55</v>
      </c>
      <c r="D1252" t="s">
        <v>27</v>
      </c>
      <c r="E1252" t="s">
        <v>32</v>
      </c>
      <c r="F1252">
        <v>2</v>
      </c>
      <c r="G1252">
        <v>315</v>
      </c>
      <c r="H1252">
        <v>630</v>
      </c>
    </row>
    <row r="1253" spans="1:8" x14ac:dyDescent="0.25">
      <c r="A1253" t="s">
        <v>1655</v>
      </c>
      <c r="B1253" s="1">
        <v>45526</v>
      </c>
      <c r="C1253" t="s">
        <v>82</v>
      </c>
      <c r="D1253" t="s">
        <v>20</v>
      </c>
      <c r="E1253" t="s">
        <v>35</v>
      </c>
      <c r="F1253">
        <v>1</v>
      </c>
      <c r="G1253">
        <v>630</v>
      </c>
      <c r="H1253">
        <v>630</v>
      </c>
    </row>
    <row r="1254" spans="1:8" x14ac:dyDescent="0.25">
      <c r="A1254" t="s">
        <v>1058</v>
      </c>
      <c r="B1254" s="1">
        <v>45318</v>
      </c>
      <c r="C1254" t="s">
        <v>551</v>
      </c>
      <c r="D1254" t="s">
        <v>17</v>
      </c>
      <c r="E1254" t="s">
        <v>35</v>
      </c>
      <c r="F1254">
        <v>1</v>
      </c>
      <c r="G1254">
        <v>627</v>
      </c>
      <c r="H1254">
        <v>627</v>
      </c>
    </row>
    <row r="1255" spans="1:8" x14ac:dyDescent="0.25">
      <c r="A1255" t="s">
        <v>1174</v>
      </c>
      <c r="B1255" s="1">
        <v>45224</v>
      </c>
      <c r="C1255" t="s">
        <v>484</v>
      </c>
      <c r="D1255" t="s">
        <v>20</v>
      </c>
      <c r="E1255" t="s">
        <v>14</v>
      </c>
      <c r="F1255">
        <v>1</v>
      </c>
      <c r="G1255">
        <v>627</v>
      </c>
      <c r="H1255">
        <v>627</v>
      </c>
    </row>
    <row r="1256" spans="1:8" x14ac:dyDescent="0.25">
      <c r="A1256" t="s">
        <v>488</v>
      </c>
      <c r="B1256" s="1">
        <v>45014</v>
      </c>
      <c r="C1256" t="s">
        <v>289</v>
      </c>
      <c r="D1256" t="s">
        <v>27</v>
      </c>
      <c r="E1256" t="s">
        <v>35</v>
      </c>
      <c r="F1256">
        <v>1</v>
      </c>
      <c r="G1256">
        <v>624</v>
      </c>
      <c r="H1256">
        <v>624</v>
      </c>
    </row>
    <row r="1257" spans="1:8" x14ac:dyDescent="0.25">
      <c r="A1257" t="s">
        <v>1720</v>
      </c>
      <c r="B1257" s="1">
        <v>45399</v>
      </c>
      <c r="C1257" t="s">
        <v>136</v>
      </c>
      <c r="D1257" t="s">
        <v>10</v>
      </c>
      <c r="E1257" t="s">
        <v>35</v>
      </c>
      <c r="F1257">
        <v>4</v>
      </c>
      <c r="G1257">
        <v>156</v>
      </c>
      <c r="H1257">
        <v>624</v>
      </c>
    </row>
    <row r="1258" spans="1:8" x14ac:dyDescent="0.25">
      <c r="A1258" t="s">
        <v>1614</v>
      </c>
      <c r="B1258" s="1">
        <v>45246</v>
      </c>
      <c r="C1258" t="s">
        <v>221</v>
      </c>
      <c r="D1258" t="s">
        <v>17</v>
      </c>
      <c r="E1258" t="s">
        <v>32</v>
      </c>
      <c r="F1258">
        <v>1</v>
      </c>
      <c r="G1258">
        <v>623</v>
      </c>
      <c r="H1258">
        <v>623</v>
      </c>
    </row>
    <row r="1259" spans="1:8" x14ac:dyDescent="0.25">
      <c r="A1259" t="s">
        <v>242</v>
      </c>
      <c r="B1259" s="1">
        <v>45564</v>
      </c>
      <c r="C1259" t="s">
        <v>111</v>
      </c>
      <c r="D1259" t="s">
        <v>10</v>
      </c>
      <c r="E1259" t="s">
        <v>35</v>
      </c>
      <c r="F1259">
        <v>1</v>
      </c>
      <c r="G1259">
        <v>622</v>
      </c>
      <c r="H1259">
        <v>622</v>
      </c>
    </row>
    <row r="1260" spans="1:8" x14ac:dyDescent="0.25">
      <c r="A1260" t="s">
        <v>1192</v>
      </c>
      <c r="B1260" s="1">
        <v>45258</v>
      </c>
      <c r="C1260" t="s">
        <v>600</v>
      </c>
      <c r="D1260" t="s">
        <v>17</v>
      </c>
      <c r="E1260" t="s">
        <v>14</v>
      </c>
      <c r="F1260">
        <v>1</v>
      </c>
      <c r="G1260">
        <v>621</v>
      </c>
      <c r="H1260">
        <v>621</v>
      </c>
    </row>
    <row r="1261" spans="1:8" x14ac:dyDescent="0.25">
      <c r="A1261" t="s">
        <v>1322</v>
      </c>
      <c r="B1261" s="1">
        <v>45189</v>
      </c>
      <c r="C1261" t="s">
        <v>22</v>
      </c>
      <c r="D1261" t="s">
        <v>27</v>
      </c>
      <c r="E1261" t="s">
        <v>35</v>
      </c>
      <c r="F1261">
        <v>4</v>
      </c>
      <c r="G1261">
        <v>154</v>
      </c>
      <c r="H1261">
        <v>616</v>
      </c>
    </row>
    <row r="1262" spans="1:8" x14ac:dyDescent="0.25">
      <c r="A1262" t="s">
        <v>1082</v>
      </c>
      <c r="B1262" s="1">
        <v>45409</v>
      </c>
      <c r="C1262" t="s">
        <v>389</v>
      </c>
      <c r="D1262" t="s">
        <v>27</v>
      </c>
      <c r="E1262" t="s">
        <v>11</v>
      </c>
      <c r="F1262">
        <v>3</v>
      </c>
      <c r="G1262">
        <v>205</v>
      </c>
      <c r="H1262">
        <v>615</v>
      </c>
    </row>
    <row r="1263" spans="1:8" x14ac:dyDescent="0.25">
      <c r="A1263" t="s">
        <v>412</v>
      </c>
      <c r="B1263" s="1">
        <v>45608</v>
      </c>
      <c r="C1263" t="s">
        <v>413</v>
      </c>
      <c r="D1263" t="s">
        <v>27</v>
      </c>
      <c r="E1263" t="s">
        <v>35</v>
      </c>
      <c r="F1263">
        <v>3</v>
      </c>
      <c r="G1263">
        <v>204</v>
      </c>
      <c r="H1263">
        <v>612</v>
      </c>
    </row>
    <row r="1264" spans="1:8" x14ac:dyDescent="0.25">
      <c r="A1264" t="s">
        <v>948</v>
      </c>
      <c r="B1264" s="1">
        <v>45594</v>
      </c>
      <c r="C1264" t="s">
        <v>189</v>
      </c>
      <c r="D1264" t="s">
        <v>10</v>
      </c>
      <c r="E1264" t="s">
        <v>14</v>
      </c>
      <c r="F1264">
        <v>4</v>
      </c>
      <c r="G1264">
        <v>153</v>
      </c>
      <c r="H1264">
        <v>612</v>
      </c>
    </row>
    <row r="1265" spans="1:8" x14ac:dyDescent="0.25">
      <c r="A1265" t="s">
        <v>1534</v>
      </c>
      <c r="B1265" s="1">
        <v>45384</v>
      </c>
      <c r="C1265" t="s">
        <v>818</v>
      </c>
      <c r="D1265" t="s">
        <v>20</v>
      </c>
      <c r="E1265" t="s">
        <v>32</v>
      </c>
      <c r="F1265">
        <v>2</v>
      </c>
      <c r="G1265">
        <v>304</v>
      </c>
      <c r="H1265">
        <v>608</v>
      </c>
    </row>
    <row r="1266" spans="1:8" x14ac:dyDescent="0.25">
      <c r="A1266" t="s">
        <v>466</v>
      </c>
      <c r="B1266" s="1">
        <v>44935</v>
      </c>
      <c r="C1266" t="s">
        <v>322</v>
      </c>
      <c r="D1266" t="s">
        <v>17</v>
      </c>
      <c r="E1266" t="s">
        <v>32</v>
      </c>
      <c r="F1266">
        <v>2</v>
      </c>
      <c r="G1266">
        <v>303</v>
      </c>
      <c r="H1266">
        <v>606</v>
      </c>
    </row>
    <row r="1267" spans="1:8" x14ac:dyDescent="0.25">
      <c r="A1267" t="s">
        <v>1399</v>
      </c>
      <c r="B1267" s="1">
        <v>44970</v>
      </c>
      <c r="C1267" t="s">
        <v>304</v>
      </c>
      <c r="D1267" t="s">
        <v>27</v>
      </c>
      <c r="E1267" t="s">
        <v>35</v>
      </c>
      <c r="F1267">
        <v>2</v>
      </c>
      <c r="G1267">
        <v>303</v>
      </c>
      <c r="H1267">
        <v>606</v>
      </c>
    </row>
    <row r="1268" spans="1:8" x14ac:dyDescent="0.25">
      <c r="A1268" t="s">
        <v>1495</v>
      </c>
      <c r="B1268" s="1">
        <v>45346</v>
      </c>
      <c r="C1268" t="s">
        <v>367</v>
      </c>
      <c r="D1268" t="s">
        <v>10</v>
      </c>
      <c r="E1268" t="s">
        <v>25</v>
      </c>
      <c r="F1268">
        <v>2</v>
      </c>
      <c r="G1268">
        <v>303</v>
      </c>
      <c r="H1268">
        <v>606</v>
      </c>
    </row>
    <row r="1269" spans="1:8" x14ac:dyDescent="0.25">
      <c r="A1269" t="s">
        <v>1661</v>
      </c>
      <c r="B1269" s="1">
        <v>45545</v>
      </c>
      <c r="C1269" t="s">
        <v>111</v>
      </c>
      <c r="D1269" t="s">
        <v>10</v>
      </c>
      <c r="E1269" t="s">
        <v>35</v>
      </c>
      <c r="F1269">
        <v>1</v>
      </c>
      <c r="G1269">
        <v>606</v>
      </c>
      <c r="H1269">
        <v>606</v>
      </c>
    </row>
    <row r="1270" spans="1:8" x14ac:dyDescent="0.25">
      <c r="A1270" t="s">
        <v>921</v>
      </c>
      <c r="B1270" s="1">
        <v>45498</v>
      </c>
      <c r="C1270" t="s">
        <v>547</v>
      </c>
      <c r="D1270" t="s">
        <v>20</v>
      </c>
      <c r="E1270" t="s">
        <v>35</v>
      </c>
      <c r="F1270">
        <v>1</v>
      </c>
      <c r="G1270">
        <v>605</v>
      </c>
      <c r="H1270">
        <v>605</v>
      </c>
    </row>
    <row r="1271" spans="1:8" x14ac:dyDescent="0.25">
      <c r="A1271" t="s">
        <v>245</v>
      </c>
      <c r="B1271" s="1">
        <v>45083</v>
      </c>
      <c r="C1271" t="s">
        <v>246</v>
      </c>
      <c r="D1271" t="s">
        <v>17</v>
      </c>
      <c r="E1271" t="s">
        <v>11</v>
      </c>
      <c r="F1271">
        <v>3</v>
      </c>
      <c r="G1271">
        <v>201</v>
      </c>
      <c r="H1271">
        <v>603</v>
      </c>
    </row>
    <row r="1272" spans="1:8" x14ac:dyDescent="0.25">
      <c r="A1272" t="s">
        <v>1789</v>
      </c>
      <c r="B1272" s="1">
        <v>45507</v>
      </c>
      <c r="C1272" t="s">
        <v>484</v>
      </c>
      <c r="D1272" t="s">
        <v>27</v>
      </c>
      <c r="E1272" t="s">
        <v>35</v>
      </c>
      <c r="F1272">
        <v>2</v>
      </c>
      <c r="G1272">
        <v>301</v>
      </c>
      <c r="H1272">
        <v>602</v>
      </c>
    </row>
    <row r="1273" spans="1:8" x14ac:dyDescent="0.25">
      <c r="A1273" t="s">
        <v>492</v>
      </c>
      <c r="B1273" s="1">
        <v>45446</v>
      </c>
      <c r="C1273" t="s">
        <v>252</v>
      </c>
      <c r="D1273" t="s">
        <v>27</v>
      </c>
      <c r="E1273" t="s">
        <v>25</v>
      </c>
      <c r="F1273">
        <v>1</v>
      </c>
      <c r="G1273">
        <v>601</v>
      </c>
      <c r="H1273">
        <v>601</v>
      </c>
    </row>
    <row r="1274" spans="1:8" x14ac:dyDescent="0.25">
      <c r="A1274" t="s">
        <v>998</v>
      </c>
      <c r="B1274" s="1">
        <v>45309</v>
      </c>
      <c r="C1274" t="s">
        <v>179</v>
      </c>
      <c r="D1274" t="s">
        <v>17</v>
      </c>
      <c r="E1274" t="s">
        <v>32</v>
      </c>
      <c r="F1274">
        <v>1</v>
      </c>
      <c r="G1274">
        <v>598</v>
      </c>
      <c r="H1274">
        <v>598</v>
      </c>
    </row>
    <row r="1275" spans="1:8" x14ac:dyDescent="0.25">
      <c r="A1275" t="s">
        <v>1160</v>
      </c>
      <c r="B1275" s="1">
        <v>45338</v>
      </c>
      <c r="C1275" t="s">
        <v>39</v>
      </c>
      <c r="D1275" t="s">
        <v>10</v>
      </c>
      <c r="E1275" t="s">
        <v>14</v>
      </c>
      <c r="F1275">
        <v>3</v>
      </c>
      <c r="G1275">
        <v>198</v>
      </c>
      <c r="H1275">
        <v>594</v>
      </c>
    </row>
    <row r="1276" spans="1:8" x14ac:dyDescent="0.25">
      <c r="A1276" t="s">
        <v>1522</v>
      </c>
      <c r="B1276" s="1">
        <v>45193</v>
      </c>
      <c r="C1276" t="s">
        <v>449</v>
      </c>
      <c r="D1276" t="s">
        <v>27</v>
      </c>
      <c r="E1276" t="s">
        <v>25</v>
      </c>
      <c r="F1276">
        <v>4</v>
      </c>
      <c r="G1276">
        <v>148</v>
      </c>
      <c r="H1276">
        <v>592</v>
      </c>
    </row>
    <row r="1277" spans="1:8" x14ac:dyDescent="0.25">
      <c r="A1277" t="s">
        <v>860</v>
      </c>
      <c r="B1277" s="1">
        <v>45053</v>
      </c>
      <c r="C1277" t="s">
        <v>690</v>
      </c>
      <c r="D1277" t="s">
        <v>10</v>
      </c>
      <c r="E1277" t="s">
        <v>14</v>
      </c>
      <c r="F1277">
        <v>3</v>
      </c>
      <c r="G1277">
        <v>197</v>
      </c>
      <c r="H1277">
        <v>591</v>
      </c>
    </row>
    <row r="1278" spans="1:8" x14ac:dyDescent="0.25">
      <c r="A1278" t="s">
        <v>1169</v>
      </c>
      <c r="B1278" s="1">
        <v>45138</v>
      </c>
      <c r="C1278" t="s">
        <v>824</v>
      </c>
      <c r="D1278" t="s">
        <v>27</v>
      </c>
      <c r="E1278" t="s">
        <v>25</v>
      </c>
      <c r="F1278">
        <v>3</v>
      </c>
      <c r="G1278">
        <v>197</v>
      </c>
      <c r="H1278">
        <v>591</v>
      </c>
    </row>
    <row r="1279" spans="1:8" x14ac:dyDescent="0.25">
      <c r="A1279" t="s">
        <v>251</v>
      </c>
      <c r="B1279" s="1">
        <v>45227</v>
      </c>
      <c r="C1279" t="s">
        <v>252</v>
      </c>
      <c r="D1279" t="s">
        <v>10</v>
      </c>
      <c r="E1279" t="s">
        <v>11</v>
      </c>
      <c r="F1279">
        <v>2</v>
      </c>
      <c r="G1279">
        <v>295</v>
      </c>
      <c r="H1279">
        <v>590</v>
      </c>
    </row>
    <row r="1280" spans="1:8" x14ac:dyDescent="0.25">
      <c r="A1280" t="s">
        <v>715</v>
      </c>
      <c r="B1280" s="1">
        <v>45504</v>
      </c>
      <c r="C1280" t="s">
        <v>473</v>
      </c>
      <c r="D1280" t="s">
        <v>17</v>
      </c>
      <c r="E1280" t="s">
        <v>14</v>
      </c>
      <c r="F1280">
        <v>5</v>
      </c>
      <c r="G1280">
        <v>118</v>
      </c>
      <c r="H1280">
        <v>590</v>
      </c>
    </row>
    <row r="1281" spans="1:8" x14ac:dyDescent="0.25">
      <c r="A1281" t="s">
        <v>1044</v>
      </c>
      <c r="B1281" s="1">
        <v>45483</v>
      </c>
      <c r="C1281" t="s">
        <v>444</v>
      </c>
      <c r="D1281" t="s">
        <v>27</v>
      </c>
      <c r="E1281" t="s">
        <v>25</v>
      </c>
      <c r="F1281">
        <v>4</v>
      </c>
      <c r="G1281">
        <v>147</v>
      </c>
      <c r="H1281">
        <v>588</v>
      </c>
    </row>
    <row r="1282" spans="1:8" x14ac:dyDescent="0.25">
      <c r="A1282" t="s">
        <v>1376</v>
      </c>
      <c r="B1282" s="1">
        <v>45165</v>
      </c>
      <c r="C1282" t="s">
        <v>393</v>
      </c>
      <c r="D1282" t="s">
        <v>10</v>
      </c>
      <c r="E1282" t="s">
        <v>25</v>
      </c>
      <c r="F1282">
        <v>3</v>
      </c>
      <c r="G1282">
        <v>195</v>
      </c>
      <c r="H1282">
        <v>585</v>
      </c>
    </row>
    <row r="1283" spans="1:8" x14ac:dyDescent="0.25">
      <c r="A1283" t="s">
        <v>253</v>
      </c>
      <c r="B1283" s="1">
        <v>45274</v>
      </c>
      <c r="C1283" t="s">
        <v>254</v>
      </c>
      <c r="D1283" t="s">
        <v>17</v>
      </c>
      <c r="E1283" t="s">
        <v>35</v>
      </c>
      <c r="F1283">
        <v>1</v>
      </c>
      <c r="G1283">
        <v>584</v>
      </c>
      <c r="H1283">
        <v>584</v>
      </c>
    </row>
    <row r="1284" spans="1:8" x14ac:dyDescent="0.25">
      <c r="A1284" t="s">
        <v>1574</v>
      </c>
      <c r="B1284" s="1">
        <v>45315</v>
      </c>
      <c r="C1284" t="s">
        <v>477</v>
      </c>
      <c r="D1284" t="s">
        <v>10</v>
      </c>
      <c r="E1284" t="s">
        <v>14</v>
      </c>
      <c r="F1284">
        <v>4</v>
      </c>
      <c r="G1284">
        <v>146</v>
      </c>
      <c r="H1284">
        <v>584</v>
      </c>
    </row>
    <row r="1285" spans="1:8" x14ac:dyDescent="0.25">
      <c r="A1285" t="s">
        <v>1731</v>
      </c>
      <c r="B1285" s="1">
        <v>45580</v>
      </c>
      <c r="C1285" t="s">
        <v>152</v>
      </c>
      <c r="D1285" t="s">
        <v>17</v>
      </c>
      <c r="E1285" t="s">
        <v>25</v>
      </c>
      <c r="F1285">
        <v>1</v>
      </c>
      <c r="G1285">
        <v>581</v>
      </c>
      <c r="H1285">
        <v>581</v>
      </c>
    </row>
    <row r="1286" spans="1:8" x14ac:dyDescent="0.25">
      <c r="A1286" t="s">
        <v>250</v>
      </c>
      <c r="B1286" s="1">
        <v>45028</v>
      </c>
      <c r="C1286" t="s">
        <v>130</v>
      </c>
      <c r="D1286" t="s">
        <v>10</v>
      </c>
      <c r="E1286" t="s">
        <v>35</v>
      </c>
      <c r="F1286">
        <v>4</v>
      </c>
      <c r="G1286">
        <v>145</v>
      </c>
      <c r="H1286">
        <v>580</v>
      </c>
    </row>
    <row r="1287" spans="1:8" x14ac:dyDescent="0.25">
      <c r="A1287" t="s">
        <v>912</v>
      </c>
      <c r="B1287" s="1">
        <v>45450</v>
      </c>
      <c r="C1287" t="s">
        <v>94</v>
      </c>
      <c r="D1287" t="s">
        <v>20</v>
      </c>
      <c r="E1287" t="s">
        <v>35</v>
      </c>
      <c r="F1287">
        <v>1</v>
      </c>
      <c r="G1287">
        <v>580</v>
      </c>
      <c r="H1287">
        <v>580</v>
      </c>
    </row>
    <row r="1288" spans="1:8" x14ac:dyDescent="0.25">
      <c r="A1288" t="s">
        <v>1624</v>
      </c>
      <c r="B1288" s="1">
        <v>45315</v>
      </c>
      <c r="C1288" t="s">
        <v>553</v>
      </c>
      <c r="D1288" t="s">
        <v>17</v>
      </c>
      <c r="E1288" t="s">
        <v>25</v>
      </c>
      <c r="F1288">
        <v>5</v>
      </c>
      <c r="G1288">
        <v>116</v>
      </c>
      <c r="H1288">
        <v>580</v>
      </c>
    </row>
    <row r="1289" spans="1:8" x14ac:dyDescent="0.25">
      <c r="A1289" t="s">
        <v>1634</v>
      </c>
      <c r="B1289" s="1">
        <v>45284</v>
      </c>
      <c r="C1289" t="s">
        <v>328</v>
      </c>
      <c r="D1289" t="s">
        <v>20</v>
      </c>
      <c r="E1289" t="s">
        <v>11</v>
      </c>
      <c r="F1289">
        <v>5</v>
      </c>
      <c r="G1289">
        <v>116</v>
      </c>
      <c r="H1289">
        <v>580</v>
      </c>
    </row>
    <row r="1290" spans="1:8" x14ac:dyDescent="0.25">
      <c r="A1290" t="s">
        <v>1737</v>
      </c>
      <c r="B1290" s="1">
        <v>45295</v>
      </c>
      <c r="C1290" t="s">
        <v>870</v>
      </c>
      <c r="D1290" t="s">
        <v>10</v>
      </c>
      <c r="E1290" t="s">
        <v>14</v>
      </c>
      <c r="F1290">
        <v>4</v>
      </c>
      <c r="G1290">
        <v>145</v>
      </c>
      <c r="H1290">
        <v>580</v>
      </c>
    </row>
    <row r="1291" spans="1:8" x14ac:dyDescent="0.25">
      <c r="A1291" t="s">
        <v>147</v>
      </c>
      <c r="B1291" s="1">
        <v>45379</v>
      </c>
      <c r="C1291" t="s">
        <v>148</v>
      </c>
      <c r="D1291" t="s">
        <v>27</v>
      </c>
      <c r="E1291" t="s">
        <v>14</v>
      </c>
      <c r="F1291">
        <v>1</v>
      </c>
      <c r="G1291">
        <v>579</v>
      </c>
      <c r="H1291">
        <v>579</v>
      </c>
    </row>
    <row r="1292" spans="1:8" x14ac:dyDescent="0.25">
      <c r="A1292" t="s">
        <v>438</v>
      </c>
      <c r="B1292" s="1">
        <v>44951</v>
      </c>
      <c r="C1292" t="s">
        <v>439</v>
      </c>
      <c r="D1292" t="s">
        <v>20</v>
      </c>
      <c r="E1292" t="s">
        <v>35</v>
      </c>
      <c r="F1292">
        <v>1</v>
      </c>
      <c r="G1292">
        <v>578</v>
      </c>
      <c r="H1292">
        <v>578</v>
      </c>
    </row>
    <row r="1293" spans="1:8" x14ac:dyDescent="0.25">
      <c r="A1293" t="s">
        <v>990</v>
      </c>
      <c r="B1293" s="1">
        <v>44930</v>
      </c>
      <c r="C1293" t="s">
        <v>223</v>
      </c>
      <c r="D1293" t="s">
        <v>20</v>
      </c>
      <c r="E1293" t="s">
        <v>35</v>
      </c>
      <c r="F1293">
        <v>4</v>
      </c>
      <c r="G1293">
        <v>144</v>
      </c>
      <c r="H1293">
        <v>576</v>
      </c>
    </row>
    <row r="1294" spans="1:8" x14ac:dyDescent="0.25">
      <c r="A1294" t="s">
        <v>1485</v>
      </c>
      <c r="B1294" s="1">
        <v>45429</v>
      </c>
      <c r="C1294" t="s">
        <v>84</v>
      </c>
      <c r="D1294" t="s">
        <v>10</v>
      </c>
      <c r="E1294" t="s">
        <v>35</v>
      </c>
      <c r="F1294">
        <v>1</v>
      </c>
      <c r="G1294">
        <v>574</v>
      </c>
      <c r="H1294">
        <v>574</v>
      </c>
    </row>
    <row r="1295" spans="1:8" x14ac:dyDescent="0.25">
      <c r="A1295" t="s">
        <v>451</v>
      </c>
      <c r="B1295" s="1">
        <v>45250</v>
      </c>
      <c r="C1295" t="s">
        <v>452</v>
      </c>
      <c r="D1295" t="s">
        <v>17</v>
      </c>
      <c r="E1295" t="s">
        <v>35</v>
      </c>
      <c r="F1295">
        <v>3</v>
      </c>
      <c r="G1295">
        <v>191</v>
      </c>
      <c r="H1295">
        <v>573</v>
      </c>
    </row>
    <row r="1296" spans="1:8" x14ac:dyDescent="0.25">
      <c r="A1296" t="s">
        <v>87</v>
      </c>
      <c r="B1296" s="1">
        <v>45435</v>
      </c>
      <c r="C1296" t="s">
        <v>88</v>
      </c>
      <c r="D1296" t="s">
        <v>10</v>
      </c>
      <c r="E1296" t="s">
        <v>25</v>
      </c>
      <c r="F1296">
        <v>2</v>
      </c>
      <c r="G1296">
        <v>286</v>
      </c>
      <c r="H1296">
        <v>572</v>
      </c>
    </row>
    <row r="1297" spans="1:8" x14ac:dyDescent="0.25">
      <c r="A1297" t="s">
        <v>665</v>
      </c>
      <c r="B1297" s="1">
        <v>45492</v>
      </c>
      <c r="C1297" t="s">
        <v>223</v>
      </c>
      <c r="D1297" t="s">
        <v>27</v>
      </c>
      <c r="E1297" t="s">
        <v>35</v>
      </c>
      <c r="F1297">
        <v>4</v>
      </c>
      <c r="G1297">
        <v>143</v>
      </c>
      <c r="H1297">
        <v>572</v>
      </c>
    </row>
    <row r="1298" spans="1:8" x14ac:dyDescent="0.25">
      <c r="A1298" t="s">
        <v>1089</v>
      </c>
      <c r="B1298" s="1">
        <v>44930</v>
      </c>
      <c r="C1298" t="s">
        <v>1090</v>
      </c>
      <c r="D1298" t="s">
        <v>17</v>
      </c>
      <c r="E1298" t="s">
        <v>11</v>
      </c>
      <c r="F1298">
        <v>1</v>
      </c>
      <c r="G1298">
        <v>572</v>
      </c>
      <c r="H1298">
        <v>572</v>
      </c>
    </row>
    <row r="1299" spans="1:8" x14ac:dyDescent="0.25">
      <c r="A1299" t="s">
        <v>1213</v>
      </c>
      <c r="B1299" s="1">
        <v>45112</v>
      </c>
      <c r="C1299" t="s">
        <v>764</v>
      </c>
      <c r="D1299" t="s">
        <v>17</v>
      </c>
      <c r="E1299" t="s">
        <v>25</v>
      </c>
      <c r="F1299">
        <v>2</v>
      </c>
      <c r="G1299">
        <v>285</v>
      </c>
      <c r="H1299">
        <v>570</v>
      </c>
    </row>
    <row r="1300" spans="1:8" x14ac:dyDescent="0.25">
      <c r="A1300" t="s">
        <v>233</v>
      </c>
      <c r="B1300" s="1">
        <v>45210</v>
      </c>
      <c r="C1300" t="s">
        <v>234</v>
      </c>
      <c r="D1300" t="s">
        <v>17</v>
      </c>
      <c r="E1300" t="s">
        <v>14</v>
      </c>
      <c r="F1300">
        <v>2</v>
      </c>
      <c r="G1300">
        <v>284</v>
      </c>
      <c r="H1300">
        <v>568</v>
      </c>
    </row>
    <row r="1301" spans="1:8" x14ac:dyDescent="0.25">
      <c r="A1301" t="s">
        <v>808</v>
      </c>
      <c r="B1301" s="1">
        <v>45480</v>
      </c>
      <c r="C1301" t="s">
        <v>197</v>
      </c>
      <c r="D1301" t="s">
        <v>27</v>
      </c>
      <c r="E1301" t="s">
        <v>35</v>
      </c>
      <c r="F1301">
        <v>1</v>
      </c>
      <c r="G1301">
        <v>567</v>
      </c>
      <c r="H1301">
        <v>567</v>
      </c>
    </row>
    <row r="1302" spans="1:8" x14ac:dyDescent="0.25">
      <c r="A1302" t="s">
        <v>1113</v>
      </c>
      <c r="B1302" s="1">
        <v>45620</v>
      </c>
      <c r="C1302" t="s">
        <v>1114</v>
      </c>
      <c r="D1302" t="s">
        <v>10</v>
      </c>
      <c r="E1302" t="s">
        <v>11</v>
      </c>
      <c r="F1302">
        <v>1</v>
      </c>
      <c r="G1302">
        <v>567</v>
      </c>
      <c r="H1302">
        <v>567</v>
      </c>
    </row>
    <row r="1303" spans="1:8" x14ac:dyDescent="0.25">
      <c r="A1303" t="s">
        <v>203</v>
      </c>
      <c r="B1303" s="1">
        <v>45228</v>
      </c>
      <c r="C1303" t="s">
        <v>45</v>
      </c>
      <c r="D1303" t="s">
        <v>20</v>
      </c>
      <c r="E1303" t="s">
        <v>14</v>
      </c>
      <c r="F1303">
        <v>3</v>
      </c>
      <c r="G1303">
        <v>188</v>
      </c>
      <c r="H1303">
        <v>564</v>
      </c>
    </row>
    <row r="1304" spans="1:8" x14ac:dyDescent="0.25">
      <c r="A1304" t="s">
        <v>778</v>
      </c>
      <c r="B1304" s="1">
        <v>45050</v>
      </c>
      <c r="C1304" t="s">
        <v>98</v>
      </c>
      <c r="D1304" t="s">
        <v>20</v>
      </c>
      <c r="E1304" t="s">
        <v>14</v>
      </c>
      <c r="F1304">
        <v>3</v>
      </c>
      <c r="G1304">
        <v>188</v>
      </c>
      <c r="H1304">
        <v>564</v>
      </c>
    </row>
    <row r="1305" spans="1:8" x14ac:dyDescent="0.25">
      <c r="A1305" t="s">
        <v>1283</v>
      </c>
      <c r="B1305" s="1">
        <v>45533</v>
      </c>
      <c r="C1305" t="s">
        <v>216</v>
      </c>
      <c r="D1305" t="s">
        <v>20</v>
      </c>
      <c r="E1305" t="s">
        <v>25</v>
      </c>
      <c r="F1305">
        <v>2</v>
      </c>
      <c r="G1305">
        <v>282</v>
      </c>
      <c r="H1305">
        <v>564</v>
      </c>
    </row>
    <row r="1306" spans="1:8" x14ac:dyDescent="0.25">
      <c r="A1306" t="s">
        <v>1293</v>
      </c>
      <c r="B1306" s="1">
        <v>44986</v>
      </c>
      <c r="C1306" t="s">
        <v>1294</v>
      </c>
      <c r="D1306" t="s">
        <v>20</v>
      </c>
      <c r="E1306" t="s">
        <v>32</v>
      </c>
      <c r="F1306">
        <v>1</v>
      </c>
      <c r="G1306">
        <v>562</v>
      </c>
      <c r="H1306">
        <v>562</v>
      </c>
    </row>
    <row r="1307" spans="1:8" x14ac:dyDescent="0.25">
      <c r="A1307" t="s">
        <v>1549</v>
      </c>
      <c r="B1307" s="1">
        <v>45351</v>
      </c>
      <c r="C1307" t="s">
        <v>531</v>
      </c>
      <c r="D1307" t="s">
        <v>17</v>
      </c>
      <c r="E1307" t="s">
        <v>14</v>
      </c>
      <c r="F1307">
        <v>4</v>
      </c>
      <c r="G1307">
        <v>140</v>
      </c>
      <c r="H1307">
        <v>560</v>
      </c>
    </row>
    <row r="1308" spans="1:8" x14ac:dyDescent="0.25">
      <c r="A1308" t="s">
        <v>856</v>
      </c>
      <c r="B1308" s="1">
        <v>45018</v>
      </c>
      <c r="C1308" t="s">
        <v>456</v>
      </c>
      <c r="D1308" t="s">
        <v>10</v>
      </c>
      <c r="E1308" t="s">
        <v>32</v>
      </c>
      <c r="F1308">
        <v>3</v>
      </c>
      <c r="G1308">
        <v>186</v>
      </c>
      <c r="H1308">
        <v>558</v>
      </c>
    </row>
    <row r="1309" spans="1:8" x14ac:dyDescent="0.25">
      <c r="A1309" t="s">
        <v>1343</v>
      </c>
      <c r="B1309" s="1">
        <v>45390</v>
      </c>
      <c r="C1309" t="s">
        <v>132</v>
      </c>
      <c r="D1309" t="s">
        <v>10</v>
      </c>
      <c r="E1309" t="s">
        <v>14</v>
      </c>
      <c r="F1309">
        <v>1</v>
      </c>
      <c r="G1309">
        <v>556</v>
      </c>
      <c r="H1309">
        <v>556</v>
      </c>
    </row>
    <row r="1310" spans="1:8" x14ac:dyDescent="0.25">
      <c r="A1310" t="s">
        <v>419</v>
      </c>
      <c r="B1310" s="1">
        <v>45265</v>
      </c>
      <c r="C1310" t="s">
        <v>420</v>
      </c>
      <c r="D1310" t="s">
        <v>10</v>
      </c>
      <c r="E1310" t="s">
        <v>11</v>
      </c>
      <c r="F1310">
        <v>2</v>
      </c>
      <c r="G1310">
        <v>277</v>
      </c>
      <c r="H1310">
        <v>554</v>
      </c>
    </row>
    <row r="1311" spans="1:8" x14ac:dyDescent="0.25">
      <c r="A1311" t="s">
        <v>1077</v>
      </c>
      <c r="B1311" s="1">
        <v>44984</v>
      </c>
      <c r="C1311" t="s">
        <v>336</v>
      </c>
      <c r="D1311" t="s">
        <v>20</v>
      </c>
      <c r="E1311" t="s">
        <v>25</v>
      </c>
      <c r="F1311">
        <v>2</v>
      </c>
      <c r="G1311">
        <v>277</v>
      </c>
      <c r="H1311">
        <v>554</v>
      </c>
    </row>
    <row r="1312" spans="1:8" x14ac:dyDescent="0.25">
      <c r="A1312" t="s">
        <v>385</v>
      </c>
      <c r="B1312" s="1">
        <v>45101</v>
      </c>
      <c r="C1312" t="s">
        <v>364</v>
      </c>
      <c r="D1312" t="s">
        <v>17</v>
      </c>
      <c r="E1312" t="s">
        <v>35</v>
      </c>
      <c r="F1312">
        <v>3</v>
      </c>
      <c r="G1312">
        <v>183</v>
      </c>
      <c r="H1312">
        <v>549</v>
      </c>
    </row>
    <row r="1313" spans="1:8" x14ac:dyDescent="0.25">
      <c r="A1313" t="s">
        <v>329</v>
      </c>
      <c r="B1313" s="1">
        <v>45333</v>
      </c>
      <c r="C1313" t="s">
        <v>330</v>
      </c>
      <c r="D1313" t="s">
        <v>20</v>
      </c>
      <c r="E1313" t="s">
        <v>14</v>
      </c>
      <c r="F1313">
        <v>1</v>
      </c>
      <c r="G1313">
        <v>548</v>
      </c>
      <c r="H1313">
        <v>548</v>
      </c>
    </row>
    <row r="1314" spans="1:8" x14ac:dyDescent="0.25">
      <c r="A1314" t="s">
        <v>1410</v>
      </c>
      <c r="B1314" s="1">
        <v>45237</v>
      </c>
      <c r="C1314" t="s">
        <v>181</v>
      </c>
      <c r="D1314" t="s">
        <v>10</v>
      </c>
      <c r="E1314" t="s">
        <v>25</v>
      </c>
      <c r="F1314">
        <v>1</v>
      </c>
      <c r="G1314">
        <v>548</v>
      </c>
      <c r="H1314">
        <v>548</v>
      </c>
    </row>
    <row r="1315" spans="1:8" x14ac:dyDescent="0.25">
      <c r="A1315" t="s">
        <v>1031</v>
      </c>
      <c r="B1315" s="1">
        <v>45144</v>
      </c>
      <c r="C1315" t="s">
        <v>228</v>
      </c>
      <c r="D1315" t="s">
        <v>27</v>
      </c>
      <c r="E1315" t="s">
        <v>14</v>
      </c>
      <c r="F1315">
        <v>1</v>
      </c>
      <c r="G1315">
        <v>546</v>
      </c>
      <c r="H1315">
        <v>546</v>
      </c>
    </row>
    <row r="1316" spans="1:8" x14ac:dyDescent="0.25">
      <c r="A1316" t="s">
        <v>884</v>
      </c>
      <c r="B1316" s="1">
        <v>45285</v>
      </c>
      <c r="C1316" t="s">
        <v>350</v>
      </c>
      <c r="D1316" t="s">
        <v>27</v>
      </c>
      <c r="E1316" t="s">
        <v>35</v>
      </c>
      <c r="F1316">
        <v>1</v>
      </c>
      <c r="G1316">
        <v>545</v>
      </c>
      <c r="H1316">
        <v>545</v>
      </c>
    </row>
    <row r="1317" spans="1:8" x14ac:dyDescent="0.25">
      <c r="A1317" t="s">
        <v>1493</v>
      </c>
      <c r="B1317" s="1">
        <v>45432</v>
      </c>
      <c r="C1317" t="s">
        <v>315</v>
      </c>
      <c r="D1317" t="s">
        <v>20</v>
      </c>
      <c r="E1317" t="s">
        <v>11</v>
      </c>
      <c r="F1317">
        <v>3</v>
      </c>
      <c r="G1317">
        <v>181</v>
      </c>
      <c r="H1317">
        <v>543</v>
      </c>
    </row>
    <row r="1318" spans="1:8" x14ac:dyDescent="0.25">
      <c r="A1318" t="s">
        <v>1046</v>
      </c>
      <c r="B1318" s="1">
        <v>45037</v>
      </c>
      <c r="C1318" t="s">
        <v>189</v>
      </c>
      <c r="D1318" t="s">
        <v>27</v>
      </c>
      <c r="E1318" t="s">
        <v>14</v>
      </c>
      <c r="F1318">
        <v>1</v>
      </c>
      <c r="G1318">
        <v>542</v>
      </c>
      <c r="H1318">
        <v>542</v>
      </c>
    </row>
    <row r="1319" spans="1:8" x14ac:dyDescent="0.25">
      <c r="A1319" t="s">
        <v>208</v>
      </c>
      <c r="B1319" s="1">
        <v>45504</v>
      </c>
      <c r="C1319" t="s">
        <v>209</v>
      </c>
      <c r="D1319" t="s">
        <v>10</v>
      </c>
      <c r="E1319" t="s">
        <v>32</v>
      </c>
      <c r="F1319">
        <v>1</v>
      </c>
      <c r="G1319">
        <v>541</v>
      </c>
      <c r="H1319">
        <v>541</v>
      </c>
    </row>
    <row r="1320" spans="1:8" x14ac:dyDescent="0.25">
      <c r="A1320" t="s">
        <v>1648</v>
      </c>
      <c r="B1320" s="1">
        <v>45294</v>
      </c>
      <c r="C1320" t="s">
        <v>1096</v>
      </c>
      <c r="D1320" t="s">
        <v>27</v>
      </c>
      <c r="E1320" t="s">
        <v>25</v>
      </c>
      <c r="F1320">
        <v>1</v>
      </c>
      <c r="G1320">
        <v>537</v>
      </c>
      <c r="H1320">
        <v>537</v>
      </c>
    </row>
    <row r="1321" spans="1:8" x14ac:dyDescent="0.25">
      <c r="A1321" t="s">
        <v>1673</v>
      </c>
      <c r="B1321" s="1">
        <v>45573</v>
      </c>
      <c r="C1321" t="s">
        <v>452</v>
      </c>
      <c r="D1321" t="s">
        <v>20</v>
      </c>
      <c r="E1321" t="s">
        <v>25</v>
      </c>
      <c r="F1321">
        <v>1</v>
      </c>
      <c r="G1321">
        <v>537</v>
      </c>
      <c r="H1321">
        <v>537</v>
      </c>
    </row>
    <row r="1322" spans="1:8" x14ac:dyDescent="0.25">
      <c r="A1322" t="s">
        <v>1759</v>
      </c>
      <c r="B1322" s="1">
        <v>44979</v>
      </c>
      <c r="C1322" t="s">
        <v>417</v>
      </c>
      <c r="D1322" t="s">
        <v>10</v>
      </c>
      <c r="E1322" t="s">
        <v>35</v>
      </c>
      <c r="F1322">
        <v>1</v>
      </c>
      <c r="G1322">
        <v>537</v>
      </c>
      <c r="H1322">
        <v>537</v>
      </c>
    </row>
    <row r="1323" spans="1:8" x14ac:dyDescent="0.25">
      <c r="A1323" t="s">
        <v>1030</v>
      </c>
      <c r="B1323" s="1">
        <v>44931</v>
      </c>
      <c r="C1323" t="s">
        <v>695</v>
      </c>
      <c r="D1323" t="s">
        <v>20</v>
      </c>
      <c r="E1323" t="s">
        <v>35</v>
      </c>
      <c r="F1323">
        <v>2</v>
      </c>
      <c r="G1323">
        <v>267</v>
      </c>
      <c r="H1323">
        <v>534</v>
      </c>
    </row>
    <row r="1324" spans="1:8" x14ac:dyDescent="0.25">
      <c r="A1324" t="s">
        <v>1277</v>
      </c>
      <c r="B1324" s="1">
        <v>45464</v>
      </c>
      <c r="C1324" t="s">
        <v>130</v>
      </c>
      <c r="D1324" t="s">
        <v>17</v>
      </c>
      <c r="E1324" t="s">
        <v>11</v>
      </c>
      <c r="F1324">
        <v>3</v>
      </c>
      <c r="G1324">
        <v>178</v>
      </c>
      <c r="H1324">
        <v>534</v>
      </c>
    </row>
    <row r="1325" spans="1:8" x14ac:dyDescent="0.25">
      <c r="A1325" t="s">
        <v>739</v>
      </c>
      <c r="B1325" s="1">
        <v>45056</v>
      </c>
      <c r="C1325" t="s">
        <v>53</v>
      </c>
      <c r="D1325" t="s">
        <v>17</v>
      </c>
      <c r="E1325" t="s">
        <v>11</v>
      </c>
      <c r="F1325">
        <v>1</v>
      </c>
      <c r="G1325">
        <v>531</v>
      </c>
      <c r="H1325">
        <v>531</v>
      </c>
    </row>
    <row r="1326" spans="1:8" x14ac:dyDescent="0.25">
      <c r="A1326" t="s">
        <v>170</v>
      </c>
      <c r="B1326" s="1">
        <v>45085</v>
      </c>
      <c r="C1326" t="s">
        <v>171</v>
      </c>
      <c r="D1326" t="s">
        <v>17</v>
      </c>
      <c r="E1326" t="s">
        <v>32</v>
      </c>
      <c r="F1326">
        <v>1</v>
      </c>
      <c r="G1326">
        <v>527</v>
      </c>
      <c r="H1326">
        <v>527</v>
      </c>
    </row>
    <row r="1327" spans="1:8" x14ac:dyDescent="0.25">
      <c r="A1327" t="s">
        <v>523</v>
      </c>
      <c r="B1327" s="1">
        <v>45524</v>
      </c>
      <c r="C1327" t="s">
        <v>304</v>
      </c>
      <c r="D1327" t="s">
        <v>17</v>
      </c>
      <c r="E1327" t="s">
        <v>14</v>
      </c>
      <c r="F1327">
        <v>1</v>
      </c>
      <c r="G1327">
        <v>526</v>
      </c>
      <c r="H1327">
        <v>526</v>
      </c>
    </row>
    <row r="1328" spans="1:8" x14ac:dyDescent="0.25">
      <c r="A1328" t="s">
        <v>162</v>
      </c>
      <c r="B1328" s="1">
        <v>45343</v>
      </c>
      <c r="C1328" t="s">
        <v>163</v>
      </c>
      <c r="D1328" t="s">
        <v>10</v>
      </c>
      <c r="E1328" t="s">
        <v>25</v>
      </c>
      <c r="F1328">
        <v>2</v>
      </c>
      <c r="G1328">
        <v>261</v>
      </c>
      <c r="H1328">
        <v>522</v>
      </c>
    </row>
    <row r="1329" spans="1:8" x14ac:dyDescent="0.25">
      <c r="A1329" t="s">
        <v>1400</v>
      </c>
      <c r="B1329" s="1">
        <v>45158</v>
      </c>
      <c r="C1329" t="s">
        <v>444</v>
      </c>
      <c r="D1329" t="s">
        <v>27</v>
      </c>
      <c r="E1329" t="s">
        <v>35</v>
      </c>
      <c r="F1329">
        <v>1</v>
      </c>
      <c r="G1329">
        <v>521</v>
      </c>
      <c r="H1329">
        <v>521</v>
      </c>
    </row>
    <row r="1330" spans="1:8" x14ac:dyDescent="0.25">
      <c r="A1330" t="s">
        <v>243</v>
      </c>
      <c r="B1330" s="1">
        <v>44936</v>
      </c>
      <c r="C1330" t="s">
        <v>55</v>
      </c>
      <c r="D1330" t="s">
        <v>10</v>
      </c>
      <c r="E1330" t="s">
        <v>32</v>
      </c>
      <c r="F1330">
        <v>3</v>
      </c>
      <c r="G1330">
        <v>173</v>
      </c>
      <c r="H1330">
        <v>519</v>
      </c>
    </row>
    <row r="1331" spans="1:8" x14ac:dyDescent="0.25">
      <c r="A1331" t="s">
        <v>933</v>
      </c>
      <c r="B1331" s="1">
        <v>45180</v>
      </c>
      <c r="C1331" t="s">
        <v>562</v>
      </c>
      <c r="D1331" t="s">
        <v>10</v>
      </c>
      <c r="E1331" t="s">
        <v>14</v>
      </c>
      <c r="F1331">
        <v>3</v>
      </c>
      <c r="G1331">
        <v>173</v>
      </c>
      <c r="H1331">
        <v>519</v>
      </c>
    </row>
    <row r="1332" spans="1:8" x14ac:dyDescent="0.25">
      <c r="A1332" t="s">
        <v>1092</v>
      </c>
      <c r="B1332" s="1">
        <v>45112</v>
      </c>
      <c r="C1332" t="s">
        <v>396</v>
      </c>
      <c r="D1332" t="s">
        <v>17</v>
      </c>
      <c r="E1332" t="s">
        <v>14</v>
      </c>
      <c r="F1332">
        <v>5</v>
      </c>
      <c r="G1332">
        <v>102</v>
      </c>
      <c r="H1332">
        <v>510</v>
      </c>
    </row>
    <row r="1333" spans="1:8" x14ac:dyDescent="0.25">
      <c r="A1333" t="s">
        <v>1373</v>
      </c>
      <c r="B1333" s="1">
        <v>45306</v>
      </c>
      <c r="C1333" t="s">
        <v>324</v>
      </c>
      <c r="D1333" t="s">
        <v>20</v>
      </c>
      <c r="E1333" t="s">
        <v>32</v>
      </c>
      <c r="F1333">
        <v>5</v>
      </c>
      <c r="G1333">
        <v>102</v>
      </c>
      <c r="H1333">
        <v>510</v>
      </c>
    </row>
    <row r="1334" spans="1:8" x14ac:dyDescent="0.25">
      <c r="A1334" t="s">
        <v>1459</v>
      </c>
      <c r="B1334" s="1">
        <v>44951</v>
      </c>
      <c r="C1334" t="s">
        <v>9</v>
      </c>
      <c r="D1334" t="s">
        <v>20</v>
      </c>
      <c r="E1334" t="s">
        <v>25</v>
      </c>
      <c r="F1334">
        <v>1</v>
      </c>
      <c r="G1334">
        <v>510</v>
      </c>
      <c r="H1334">
        <v>510</v>
      </c>
    </row>
    <row r="1335" spans="1:8" x14ac:dyDescent="0.25">
      <c r="A1335" t="s">
        <v>535</v>
      </c>
      <c r="B1335" s="1">
        <v>45591</v>
      </c>
      <c r="C1335" t="s">
        <v>298</v>
      </c>
      <c r="D1335" t="s">
        <v>27</v>
      </c>
      <c r="E1335" t="s">
        <v>14</v>
      </c>
      <c r="F1335">
        <v>2</v>
      </c>
      <c r="G1335">
        <v>253</v>
      </c>
      <c r="H1335">
        <v>506</v>
      </c>
    </row>
    <row r="1336" spans="1:8" x14ac:dyDescent="0.25">
      <c r="A1336" t="s">
        <v>1310</v>
      </c>
      <c r="B1336" s="1">
        <v>45475</v>
      </c>
      <c r="C1336" t="s">
        <v>785</v>
      </c>
      <c r="D1336" t="s">
        <v>27</v>
      </c>
      <c r="E1336" t="s">
        <v>35</v>
      </c>
      <c r="F1336">
        <v>2</v>
      </c>
      <c r="G1336">
        <v>253</v>
      </c>
      <c r="H1336">
        <v>506</v>
      </c>
    </row>
    <row r="1337" spans="1:8" x14ac:dyDescent="0.25">
      <c r="A1337" t="s">
        <v>1452</v>
      </c>
      <c r="B1337" s="1">
        <v>45275</v>
      </c>
      <c r="C1337" t="s">
        <v>261</v>
      </c>
      <c r="D1337" t="s">
        <v>17</v>
      </c>
      <c r="E1337" t="s">
        <v>35</v>
      </c>
      <c r="F1337">
        <v>2</v>
      </c>
      <c r="G1337">
        <v>253</v>
      </c>
      <c r="H1337">
        <v>506</v>
      </c>
    </row>
    <row r="1338" spans="1:8" x14ac:dyDescent="0.25">
      <c r="A1338" t="s">
        <v>728</v>
      </c>
      <c r="B1338" s="1">
        <v>45066</v>
      </c>
      <c r="C1338" t="s">
        <v>92</v>
      </c>
      <c r="D1338" t="s">
        <v>20</v>
      </c>
      <c r="E1338" t="s">
        <v>25</v>
      </c>
      <c r="F1338">
        <v>1</v>
      </c>
      <c r="G1338">
        <v>505</v>
      </c>
      <c r="H1338">
        <v>505</v>
      </c>
    </row>
    <row r="1339" spans="1:8" x14ac:dyDescent="0.25">
      <c r="A1339" t="s">
        <v>1609</v>
      </c>
      <c r="B1339" s="1">
        <v>44929</v>
      </c>
      <c r="C1339" t="s">
        <v>769</v>
      </c>
      <c r="D1339" t="s">
        <v>20</v>
      </c>
      <c r="E1339" t="s">
        <v>35</v>
      </c>
      <c r="F1339">
        <v>1</v>
      </c>
      <c r="G1339">
        <v>505</v>
      </c>
      <c r="H1339">
        <v>505</v>
      </c>
    </row>
    <row r="1340" spans="1:8" x14ac:dyDescent="0.25">
      <c r="A1340" t="s">
        <v>1815</v>
      </c>
      <c r="B1340" s="1">
        <v>45183</v>
      </c>
      <c r="C1340" t="s">
        <v>764</v>
      </c>
      <c r="D1340" t="s">
        <v>17</v>
      </c>
      <c r="E1340" t="s">
        <v>14</v>
      </c>
      <c r="F1340">
        <v>3</v>
      </c>
      <c r="G1340">
        <v>168</v>
      </c>
      <c r="H1340">
        <v>504</v>
      </c>
    </row>
    <row r="1341" spans="1:8" x14ac:dyDescent="0.25">
      <c r="A1341" t="s">
        <v>846</v>
      </c>
      <c r="B1341" s="1">
        <v>45615</v>
      </c>
      <c r="C1341" t="s">
        <v>553</v>
      </c>
      <c r="D1341" t="s">
        <v>27</v>
      </c>
      <c r="E1341" t="s">
        <v>25</v>
      </c>
      <c r="F1341">
        <v>3</v>
      </c>
      <c r="G1341">
        <v>166</v>
      </c>
      <c r="H1341">
        <v>498</v>
      </c>
    </row>
    <row r="1342" spans="1:8" x14ac:dyDescent="0.25">
      <c r="A1342" t="s">
        <v>1794</v>
      </c>
      <c r="B1342" s="1">
        <v>45386</v>
      </c>
      <c r="C1342" t="s">
        <v>348</v>
      </c>
      <c r="D1342" t="s">
        <v>27</v>
      </c>
      <c r="E1342" t="s">
        <v>11</v>
      </c>
      <c r="F1342">
        <v>2</v>
      </c>
      <c r="G1342">
        <v>249</v>
      </c>
      <c r="H1342">
        <v>498</v>
      </c>
    </row>
    <row r="1343" spans="1:8" x14ac:dyDescent="0.25">
      <c r="A1343" t="s">
        <v>1284</v>
      </c>
      <c r="B1343" s="1">
        <v>45524</v>
      </c>
      <c r="C1343" t="s">
        <v>328</v>
      </c>
      <c r="D1343" t="s">
        <v>20</v>
      </c>
      <c r="E1343" t="s">
        <v>35</v>
      </c>
      <c r="F1343">
        <v>1</v>
      </c>
      <c r="G1343">
        <v>497</v>
      </c>
      <c r="H1343">
        <v>497</v>
      </c>
    </row>
    <row r="1344" spans="1:8" x14ac:dyDescent="0.25">
      <c r="A1344" t="s">
        <v>1791</v>
      </c>
      <c r="B1344" s="1">
        <v>45609</v>
      </c>
      <c r="C1344" t="s">
        <v>315</v>
      </c>
      <c r="D1344" t="s">
        <v>17</v>
      </c>
      <c r="E1344" t="s">
        <v>14</v>
      </c>
      <c r="F1344">
        <v>1</v>
      </c>
      <c r="G1344">
        <v>497</v>
      </c>
      <c r="H1344">
        <v>497</v>
      </c>
    </row>
    <row r="1345" spans="1:8" x14ac:dyDescent="0.25">
      <c r="A1345" t="s">
        <v>200</v>
      </c>
      <c r="B1345" s="1">
        <v>45423</v>
      </c>
      <c r="C1345" t="s">
        <v>201</v>
      </c>
      <c r="D1345" t="s">
        <v>10</v>
      </c>
      <c r="E1345" t="s">
        <v>35</v>
      </c>
      <c r="F1345">
        <v>2</v>
      </c>
      <c r="G1345">
        <v>248</v>
      </c>
      <c r="H1345">
        <v>496</v>
      </c>
    </row>
    <row r="1346" spans="1:8" x14ac:dyDescent="0.25">
      <c r="A1346" t="s">
        <v>997</v>
      </c>
      <c r="B1346" s="1">
        <v>45328</v>
      </c>
      <c r="C1346" t="s">
        <v>336</v>
      </c>
      <c r="D1346" t="s">
        <v>17</v>
      </c>
      <c r="E1346" t="s">
        <v>25</v>
      </c>
      <c r="F1346">
        <v>2</v>
      </c>
      <c r="G1346">
        <v>247</v>
      </c>
      <c r="H1346">
        <v>494</v>
      </c>
    </row>
    <row r="1347" spans="1:8" x14ac:dyDescent="0.25">
      <c r="A1347" t="s">
        <v>847</v>
      </c>
      <c r="B1347" s="1">
        <v>45503</v>
      </c>
      <c r="C1347" t="s">
        <v>848</v>
      </c>
      <c r="D1347" t="s">
        <v>20</v>
      </c>
      <c r="E1347" t="s">
        <v>35</v>
      </c>
      <c r="F1347">
        <v>3</v>
      </c>
      <c r="G1347">
        <v>164</v>
      </c>
      <c r="H1347">
        <v>492</v>
      </c>
    </row>
    <row r="1348" spans="1:8" x14ac:dyDescent="0.25">
      <c r="A1348" t="s">
        <v>536</v>
      </c>
      <c r="B1348" s="1">
        <v>45132</v>
      </c>
      <c r="C1348" t="s">
        <v>284</v>
      </c>
      <c r="D1348" t="s">
        <v>17</v>
      </c>
      <c r="E1348" t="s">
        <v>25</v>
      </c>
      <c r="F1348">
        <v>2</v>
      </c>
      <c r="G1348">
        <v>245</v>
      </c>
      <c r="H1348">
        <v>490</v>
      </c>
    </row>
    <row r="1349" spans="1:8" x14ac:dyDescent="0.25">
      <c r="A1349" t="s">
        <v>709</v>
      </c>
      <c r="B1349" s="1">
        <v>45122</v>
      </c>
      <c r="C1349" t="s">
        <v>377</v>
      </c>
      <c r="D1349" t="s">
        <v>27</v>
      </c>
      <c r="E1349" t="s">
        <v>35</v>
      </c>
      <c r="F1349">
        <v>1</v>
      </c>
      <c r="G1349">
        <v>489</v>
      </c>
      <c r="H1349">
        <v>489</v>
      </c>
    </row>
    <row r="1350" spans="1:8" x14ac:dyDescent="0.25">
      <c r="A1350" t="s">
        <v>1006</v>
      </c>
      <c r="B1350" s="1">
        <v>44947</v>
      </c>
      <c r="C1350" t="s">
        <v>973</v>
      </c>
      <c r="D1350" t="s">
        <v>27</v>
      </c>
      <c r="E1350" t="s">
        <v>32</v>
      </c>
      <c r="F1350">
        <v>1</v>
      </c>
      <c r="G1350">
        <v>489</v>
      </c>
      <c r="H1350">
        <v>489</v>
      </c>
    </row>
    <row r="1351" spans="1:8" x14ac:dyDescent="0.25">
      <c r="A1351" t="s">
        <v>403</v>
      </c>
      <c r="B1351" s="1">
        <v>45069</v>
      </c>
      <c r="C1351" t="s">
        <v>404</v>
      </c>
      <c r="D1351" t="s">
        <v>17</v>
      </c>
      <c r="E1351" t="s">
        <v>11</v>
      </c>
      <c r="F1351">
        <v>1</v>
      </c>
      <c r="G1351">
        <v>487</v>
      </c>
      <c r="H1351">
        <v>487</v>
      </c>
    </row>
    <row r="1352" spans="1:8" x14ac:dyDescent="0.25">
      <c r="A1352" t="s">
        <v>781</v>
      </c>
      <c r="B1352" s="1">
        <v>45492</v>
      </c>
      <c r="C1352" t="s">
        <v>375</v>
      </c>
      <c r="D1352" t="s">
        <v>20</v>
      </c>
      <c r="E1352" t="s">
        <v>35</v>
      </c>
      <c r="F1352">
        <v>1</v>
      </c>
      <c r="G1352">
        <v>486</v>
      </c>
      <c r="H1352">
        <v>486</v>
      </c>
    </row>
    <row r="1353" spans="1:8" x14ac:dyDescent="0.25">
      <c r="A1353" t="s">
        <v>1761</v>
      </c>
      <c r="B1353" s="1">
        <v>45564</v>
      </c>
      <c r="C1353" t="s">
        <v>132</v>
      </c>
      <c r="D1353" t="s">
        <v>10</v>
      </c>
      <c r="E1353" t="s">
        <v>35</v>
      </c>
      <c r="F1353">
        <v>3</v>
      </c>
      <c r="G1353">
        <v>162</v>
      </c>
      <c r="H1353">
        <v>486</v>
      </c>
    </row>
    <row r="1354" spans="1:8" x14ac:dyDescent="0.25">
      <c r="A1354" t="s">
        <v>202</v>
      </c>
      <c r="B1354" s="1">
        <v>45225</v>
      </c>
      <c r="C1354" t="s">
        <v>187</v>
      </c>
      <c r="D1354" t="s">
        <v>27</v>
      </c>
      <c r="E1354" t="s">
        <v>11</v>
      </c>
      <c r="F1354">
        <v>2</v>
      </c>
      <c r="G1354">
        <v>240</v>
      </c>
      <c r="H1354">
        <v>480</v>
      </c>
    </row>
    <row r="1355" spans="1:8" x14ac:dyDescent="0.25">
      <c r="A1355" t="s">
        <v>1682</v>
      </c>
      <c r="B1355" s="1">
        <v>45420</v>
      </c>
      <c r="C1355" t="s">
        <v>41</v>
      </c>
      <c r="D1355" t="s">
        <v>20</v>
      </c>
      <c r="E1355" t="s">
        <v>14</v>
      </c>
      <c r="F1355">
        <v>4</v>
      </c>
      <c r="G1355">
        <v>120</v>
      </c>
      <c r="H1355">
        <v>480</v>
      </c>
    </row>
    <row r="1356" spans="1:8" x14ac:dyDescent="0.25">
      <c r="A1356" t="s">
        <v>1234</v>
      </c>
      <c r="B1356" s="1">
        <v>45526</v>
      </c>
      <c r="C1356" t="s">
        <v>158</v>
      </c>
      <c r="D1356" t="s">
        <v>17</v>
      </c>
      <c r="E1356" t="s">
        <v>35</v>
      </c>
      <c r="F1356">
        <v>2</v>
      </c>
      <c r="G1356">
        <v>235</v>
      </c>
      <c r="H1356">
        <v>470</v>
      </c>
    </row>
    <row r="1357" spans="1:8" x14ac:dyDescent="0.25">
      <c r="A1357" t="s">
        <v>932</v>
      </c>
      <c r="B1357" s="1">
        <v>45033</v>
      </c>
      <c r="C1357" t="s">
        <v>53</v>
      </c>
      <c r="D1357" t="s">
        <v>17</v>
      </c>
      <c r="E1357" t="s">
        <v>25</v>
      </c>
      <c r="F1357">
        <v>1</v>
      </c>
      <c r="G1357">
        <v>461</v>
      </c>
      <c r="H1357">
        <v>461</v>
      </c>
    </row>
    <row r="1358" spans="1:8" x14ac:dyDescent="0.25">
      <c r="A1358" t="s">
        <v>1408</v>
      </c>
      <c r="B1358" s="1">
        <v>45127</v>
      </c>
      <c r="C1358" t="s">
        <v>429</v>
      </c>
      <c r="D1358" t="s">
        <v>17</v>
      </c>
      <c r="E1358" t="s">
        <v>35</v>
      </c>
      <c r="F1358">
        <v>1</v>
      </c>
      <c r="G1358">
        <v>457</v>
      </c>
      <c r="H1358">
        <v>457</v>
      </c>
    </row>
    <row r="1359" spans="1:8" x14ac:dyDescent="0.25">
      <c r="A1359" t="s">
        <v>408</v>
      </c>
      <c r="B1359" s="1">
        <v>45583</v>
      </c>
      <c r="C1359" t="s">
        <v>187</v>
      </c>
      <c r="D1359" t="s">
        <v>10</v>
      </c>
      <c r="E1359" t="s">
        <v>25</v>
      </c>
      <c r="F1359">
        <v>3</v>
      </c>
      <c r="G1359">
        <v>152</v>
      </c>
      <c r="H1359">
        <v>456</v>
      </c>
    </row>
    <row r="1360" spans="1:8" x14ac:dyDescent="0.25">
      <c r="A1360" t="s">
        <v>569</v>
      </c>
      <c r="B1360" s="1">
        <v>44976</v>
      </c>
      <c r="C1360" t="s">
        <v>570</v>
      </c>
      <c r="D1360" t="s">
        <v>20</v>
      </c>
      <c r="E1360" t="s">
        <v>11</v>
      </c>
      <c r="F1360">
        <v>4</v>
      </c>
      <c r="G1360">
        <v>114</v>
      </c>
      <c r="H1360">
        <v>456</v>
      </c>
    </row>
    <row r="1361" spans="1:8" x14ac:dyDescent="0.25">
      <c r="A1361" t="s">
        <v>1225</v>
      </c>
      <c r="B1361" s="1">
        <v>45399</v>
      </c>
      <c r="C1361" t="s">
        <v>580</v>
      </c>
      <c r="D1361" t="s">
        <v>17</v>
      </c>
      <c r="E1361" t="s">
        <v>35</v>
      </c>
      <c r="F1361">
        <v>4</v>
      </c>
      <c r="G1361">
        <v>114</v>
      </c>
      <c r="H1361">
        <v>456</v>
      </c>
    </row>
    <row r="1362" spans="1:8" x14ac:dyDescent="0.25">
      <c r="A1362" t="s">
        <v>1455</v>
      </c>
      <c r="B1362" s="1">
        <v>44966</v>
      </c>
      <c r="C1362" t="s">
        <v>24</v>
      </c>
      <c r="D1362" t="s">
        <v>17</v>
      </c>
      <c r="E1362" t="s">
        <v>35</v>
      </c>
      <c r="F1362">
        <v>4</v>
      </c>
      <c r="G1362">
        <v>114</v>
      </c>
      <c r="H1362">
        <v>456</v>
      </c>
    </row>
    <row r="1363" spans="1:8" x14ac:dyDescent="0.25">
      <c r="A1363" t="s">
        <v>482</v>
      </c>
      <c r="B1363" s="1">
        <v>45219</v>
      </c>
      <c r="C1363" t="s">
        <v>238</v>
      </c>
      <c r="D1363" t="s">
        <v>10</v>
      </c>
      <c r="E1363" t="s">
        <v>25</v>
      </c>
      <c r="F1363">
        <v>1</v>
      </c>
      <c r="G1363">
        <v>452</v>
      </c>
      <c r="H1363">
        <v>452</v>
      </c>
    </row>
    <row r="1364" spans="1:8" x14ac:dyDescent="0.25">
      <c r="A1364" t="s">
        <v>165</v>
      </c>
      <c r="B1364" s="1">
        <v>44971</v>
      </c>
      <c r="C1364" t="s">
        <v>166</v>
      </c>
      <c r="D1364" t="s">
        <v>20</v>
      </c>
      <c r="E1364" t="s">
        <v>14</v>
      </c>
      <c r="F1364">
        <v>1</v>
      </c>
      <c r="G1364">
        <v>449</v>
      </c>
      <c r="H1364">
        <v>449</v>
      </c>
    </row>
    <row r="1365" spans="1:8" x14ac:dyDescent="0.25">
      <c r="A1365" t="s">
        <v>1202</v>
      </c>
      <c r="B1365" s="1">
        <v>45287</v>
      </c>
      <c r="C1365" t="s">
        <v>454</v>
      </c>
      <c r="D1365" t="s">
        <v>17</v>
      </c>
      <c r="E1365" t="s">
        <v>14</v>
      </c>
      <c r="F1365">
        <v>4</v>
      </c>
      <c r="G1365">
        <v>112</v>
      </c>
      <c r="H1365">
        <v>448</v>
      </c>
    </row>
    <row r="1366" spans="1:8" x14ac:dyDescent="0.25">
      <c r="A1366" t="s">
        <v>556</v>
      </c>
      <c r="B1366" s="1">
        <v>45314</v>
      </c>
      <c r="C1366" t="s">
        <v>432</v>
      </c>
      <c r="D1366" t="s">
        <v>17</v>
      </c>
      <c r="E1366" t="s">
        <v>11</v>
      </c>
      <c r="F1366">
        <v>1</v>
      </c>
      <c r="G1366">
        <v>447</v>
      </c>
      <c r="H1366">
        <v>447</v>
      </c>
    </row>
    <row r="1367" spans="1:8" x14ac:dyDescent="0.25">
      <c r="A1367" t="s">
        <v>879</v>
      </c>
      <c r="B1367" s="1">
        <v>45593</v>
      </c>
      <c r="C1367" t="s">
        <v>439</v>
      </c>
      <c r="D1367" t="s">
        <v>10</v>
      </c>
      <c r="E1367" t="s">
        <v>11</v>
      </c>
      <c r="F1367">
        <v>2</v>
      </c>
      <c r="G1367">
        <v>222</v>
      </c>
      <c r="H1367">
        <v>444</v>
      </c>
    </row>
    <row r="1368" spans="1:8" x14ac:dyDescent="0.25">
      <c r="A1368" t="s">
        <v>760</v>
      </c>
      <c r="B1368" s="1">
        <v>45625</v>
      </c>
      <c r="C1368" t="s">
        <v>761</v>
      </c>
      <c r="D1368" t="s">
        <v>27</v>
      </c>
      <c r="E1368" t="s">
        <v>25</v>
      </c>
      <c r="F1368">
        <v>1</v>
      </c>
      <c r="G1368">
        <v>443</v>
      </c>
      <c r="H1368">
        <v>443</v>
      </c>
    </row>
    <row r="1369" spans="1:8" x14ac:dyDescent="0.25">
      <c r="A1369" t="s">
        <v>15</v>
      </c>
      <c r="B1369" s="1">
        <v>45553</v>
      </c>
      <c r="C1369" t="s">
        <v>16</v>
      </c>
      <c r="D1369" t="s">
        <v>17</v>
      </c>
      <c r="E1369" t="s">
        <v>11</v>
      </c>
      <c r="F1369">
        <v>1</v>
      </c>
      <c r="G1369">
        <v>441</v>
      </c>
      <c r="H1369">
        <v>441</v>
      </c>
    </row>
    <row r="1370" spans="1:8" x14ac:dyDescent="0.25">
      <c r="A1370" t="s">
        <v>696</v>
      </c>
      <c r="B1370" s="1">
        <v>45542</v>
      </c>
      <c r="C1370" t="s">
        <v>313</v>
      </c>
      <c r="D1370" t="s">
        <v>27</v>
      </c>
      <c r="E1370" t="s">
        <v>14</v>
      </c>
      <c r="F1370">
        <v>1</v>
      </c>
      <c r="G1370">
        <v>440</v>
      </c>
      <c r="H1370">
        <v>440</v>
      </c>
    </row>
    <row r="1371" spans="1:8" x14ac:dyDescent="0.25">
      <c r="A1371" t="s">
        <v>1470</v>
      </c>
      <c r="B1371" s="1">
        <v>45012</v>
      </c>
      <c r="C1371" t="s">
        <v>558</v>
      </c>
      <c r="D1371" t="s">
        <v>20</v>
      </c>
      <c r="E1371" t="s">
        <v>14</v>
      </c>
      <c r="F1371">
        <v>4</v>
      </c>
      <c r="G1371">
        <v>110</v>
      </c>
      <c r="H1371">
        <v>440</v>
      </c>
    </row>
    <row r="1372" spans="1:8" x14ac:dyDescent="0.25">
      <c r="A1372" t="s">
        <v>1484</v>
      </c>
      <c r="B1372" s="1">
        <v>45569</v>
      </c>
      <c r="C1372" t="s">
        <v>618</v>
      </c>
      <c r="D1372" t="s">
        <v>10</v>
      </c>
      <c r="E1372" t="s">
        <v>14</v>
      </c>
      <c r="F1372">
        <v>3</v>
      </c>
      <c r="G1372">
        <v>143</v>
      </c>
      <c r="H1372">
        <v>429</v>
      </c>
    </row>
    <row r="1373" spans="1:8" x14ac:dyDescent="0.25">
      <c r="A1373" t="s">
        <v>545</v>
      </c>
      <c r="B1373" s="1">
        <v>44935</v>
      </c>
      <c r="C1373" t="s">
        <v>320</v>
      </c>
      <c r="D1373" t="s">
        <v>10</v>
      </c>
      <c r="E1373" t="s">
        <v>32</v>
      </c>
      <c r="F1373">
        <v>2</v>
      </c>
      <c r="G1373">
        <v>214</v>
      </c>
      <c r="H1373">
        <v>428</v>
      </c>
    </row>
    <row r="1374" spans="1:8" x14ac:dyDescent="0.25">
      <c r="A1374" t="s">
        <v>1478</v>
      </c>
      <c r="B1374" s="1">
        <v>45021</v>
      </c>
      <c r="C1374" t="s">
        <v>1101</v>
      </c>
      <c r="D1374" t="s">
        <v>10</v>
      </c>
      <c r="E1374" t="s">
        <v>14</v>
      </c>
      <c r="F1374">
        <v>1</v>
      </c>
      <c r="G1374">
        <v>428</v>
      </c>
      <c r="H1374">
        <v>428</v>
      </c>
    </row>
    <row r="1375" spans="1:8" x14ac:dyDescent="0.25">
      <c r="A1375" t="s">
        <v>842</v>
      </c>
      <c r="B1375" s="1">
        <v>45468</v>
      </c>
      <c r="C1375" t="s">
        <v>328</v>
      </c>
      <c r="D1375" t="s">
        <v>17</v>
      </c>
      <c r="E1375" t="s">
        <v>32</v>
      </c>
      <c r="F1375">
        <v>2</v>
      </c>
      <c r="G1375">
        <v>213</v>
      </c>
      <c r="H1375">
        <v>426</v>
      </c>
    </row>
    <row r="1376" spans="1:8" x14ac:dyDescent="0.25">
      <c r="A1376" t="s">
        <v>1507</v>
      </c>
      <c r="B1376" s="1">
        <v>45155</v>
      </c>
      <c r="C1376" t="s">
        <v>256</v>
      </c>
      <c r="D1376" t="s">
        <v>10</v>
      </c>
      <c r="E1376" t="s">
        <v>11</v>
      </c>
      <c r="F1376">
        <v>2</v>
      </c>
      <c r="G1376">
        <v>211</v>
      </c>
      <c r="H1376">
        <v>422</v>
      </c>
    </row>
    <row r="1377" spans="1:8" x14ac:dyDescent="0.25">
      <c r="A1377" t="s">
        <v>237</v>
      </c>
      <c r="B1377" s="1">
        <v>45336</v>
      </c>
      <c r="C1377" t="s">
        <v>238</v>
      </c>
      <c r="D1377" t="s">
        <v>27</v>
      </c>
      <c r="E1377" t="s">
        <v>25</v>
      </c>
      <c r="F1377">
        <v>1</v>
      </c>
      <c r="G1377">
        <v>421</v>
      </c>
      <c r="H1377">
        <v>421</v>
      </c>
    </row>
    <row r="1378" spans="1:8" x14ac:dyDescent="0.25">
      <c r="A1378" t="s">
        <v>925</v>
      </c>
      <c r="B1378" s="1">
        <v>45387</v>
      </c>
      <c r="C1378" t="s">
        <v>362</v>
      </c>
      <c r="D1378" t="s">
        <v>27</v>
      </c>
      <c r="E1378" t="s">
        <v>25</v>
      </c>
      <c r="F1378">
        <v>1</v>
      </c>
      <c r="G1378">
        <v>417</v>
      </c>
      <c r="H1378">
        <v>417</v>
      </c>
    </row>
    <row r="1379" spans="1:8" x14ac:dyDescent="0.25">
      <c r="A1379" t="s">
        <v>1168</v>
      </c>
      <c r="B1379" s="1">
        <v>45282</v>
      </c>
      <c r="C1379" t="s">
        <v>527</v>
      </c>
      <c r="D1379" t="s">
        <v>10</v>
      </c>
      <c r="E1379" t="s">
        <v>32</v>
      </c>
      <c r="F1379">
        <v>4</v>
      </c>
      <c r="G1379">
        <v>104</v>
      </c>
      <c r="H1379">
        <v>416</v>
      </c>
    </row>
    <row r="1380" spans="1:8" x14ac:dyDescent="0.25">
      <c r="A1380" t="s">
        <v>421</v>
      </c>
      <c r="B1380" s="1">
        <v>45533</v>
      </c>
      <c r="C1380" t="s">
        <v>82</v>
      </c>
      <c r="D1380" t="s">
        <v>17</v>
      </c>
      <c r="E1380" t="s">
        <v>25</v>
      </c>
      <c r="F1380">
        <v>1</v>
      </c>
      <c r="G1380">
        <v>415</v>
      </c>
      <c r="H1380">
        <v>415</v>
      </c>
    </row>
    <row r="1381" spans="1:8" x14ac:dyDescent="0.25">
      <c r="A1381" t="s">
        <v>649</v>
      </c>
      <c r="B1381" s="1">
        <v>45582</v>
      </c>
      <c r="C1381" t="s">
        <v>34</v>
      </c>
      <c r="D1381" t="s">
        <v>10</v>
      </c>
      <c r="E1381" t="s">
        <v>32</v>
      </c>
      <c r="F1381">
        <v>2</v>
      </c>
      <c r="G1381">
        <v>207</v>
      </c>
      <c r="H1381">
        <v>414</v>
      </c>
    </row>
    <row r="1382" spans="1:8" x14ac:dyDescent="0.25">
      <c r="A1382" t="s">
        <v>837</v>
      </c>
      <c r="B1382" s="1">
        <v>45068</v>
      </c>
      <c r="C1382" t="s">
        <v>256</v>
      </c>
      <c r="D1382" t="s">
        <v>20</v>
      </c>
      <c r="E1382" t="s">
        <v>11</v>
      </c>
      <c r="F1382">
        <v>4</v>
      </c>
      <c r="G1382">
        <v>103</v>
      </c>
      <c r="H1382">
        <v>412</v>
      </c>
    </row>
    <row r="1383" spans="1:8" x14ac:dyDescent="0.25">
      <c r="A1383" t="s">
        <v>353</v>
      </c>
      <c r="B1383" s="1">
        <v>45480</v>
      </c>
      <c r="C1383" t="s">
        <v>354</v>
      </c>
      <c r="D1383" t="s">
        <v>20</v>
      </c>
      <c r="E1383" t="s">
        <v>11</v>
      </c>
      <c r="F1383">
        <v>1</v>
      </c>
      <c r="G1383">
        <v>406</v>
      </c>
      <c r="H1383">
        <v>406</v>
      </c>
    </row>
    <row r="1384" spans="1:8" x14ac:dyDescent="0.25">
      <c r="A1384" t="s">
        <v>811</v>
      </c>
      <c r="B1384" s="1">
        <v>45047</v>
      </c>
      <c r="C1384" t="s">
        <v>343</v>
      </c>
      <c r="D1384" t="s">
        <v>10</v>
      </c>
      <c r="E1384" t="s">
        <v>25</v>
      </c>
      <c r="F1384">
        <v>2</v>
      </c>
      <c r="G1384">
        <v>203</v>
      </c>
      <c r="H1384">
        <v>406</v>
      </c>
    </row>
    <row r="1385" spans="1:8" x14ac:dyDescent="0.25">
      <c r="A1385" t="s">
        <v>387</v>
      </c>
      <c r="B1385" s="1">
        <v>45371</v>
      </c>
      <c r="C1385" t="s">
        <v>163</v>
      </c>
      <c r="D1385" t="s">
        <v>10</v>
      </c>
      <c r="E1385" t="s">
        <v>14</v>
      </c>
      <c r="F1385">
        <v>3</v>
      </c>
      <c r="G1385">
        <v>135</v>
      </c>
      <c r="H1385">
        <v>405</v>
      </c>
    </row>
    <row r="1386" spans="1:8" x14ac:dyDescent="0.25">
      <c r="A1386" t="s">
        <v>585</v>
      </c>
      <c r="B1386" s="1">
        <v>45058</v>
      </c>
      <c r="C1386" t="s">
        <v>82</v>
      </c>
      <c r="D1386" t="s">
        <v>20</v>
      </c>
      <c r="E1386" t="s">
        <v>32</v>
      </c>
      <c r="F1386">
        <v>3</v>
      </c>
      <c r="G1386">
        <v>135</v>
      </c>
      <c r="H1386">
        <v>405</v>
      </c>
    </row>
    <row r="1387" spans="1:8" x14ac:dyDescent="0.25">
      <c r="A1387" t="s">
        <v>426</v>
      </c>
      <c r="B1387" s="1">
        <v>45256</v>
      </c>
      <c r="C1387" t="s">
        <v>427</v>
      </c>
      <c r="D1387" t="s">
        <v>20</v>
      </c>
      <c r="E1387" t="s">
        <v>11</v>
      </c>
      <c r="F1387">
        <v>4</v>
      </c>
      <c r="G1387">
        <v>101</v>
      </c>
      <c r="H1387">
        <v>404</v>
      </c>
    </row>
    <row r="1388" spans="1:8" x14ac:dyDescent="0.25">
      <c r="A1388" t="s">
        <v>682</v>
      </c>
      <c r="B1388" s="1">
        <v>45617</v>
      </c>
      <c r="C1388" t="s">
        <v>683</v>
      </c>
      <c r="D1388" t="s">
        <v>17</v>
      </c>
      <c r="E1388" t="s">
        <v>32</v>
      </c>
      <c r="F1388">
        <v>2</v>
      </c>
      <c r="G1388">
        <v>202</v>
      </c>
      <c r="H1388">
        <v>404</v>
      </c>
    </row>
    <row r="1389" spans="1:8" x14ac:dyDescent="0.25">
      <c r="A1389" t="s">
        <v>780</v>
      </c>
      <c r="B1389" s="1">
        <v>45195</v>
      </c>
      <c r="C1389" t="s">
        <v>356</v>
      </c>
      <c r="D1389" t="s">
        <v>27</v>
      </c>
      <c r="E1389" t="s">
        <v>11</v>
      </c>
      <c r="F1389">
        <v>1</v>
      </c>
      <c r="G1389">
        <v>403</v>
      </c>
      <c r="H1389">
        <v>403</v>
      </c>
    </row>
    <row r="1390" spans="1:8" x14ac:dyDescent="0.25">
      <c r="A1390" t="s">
        <v>1358</v>
      </c>
      <c r="B1390" s="1">
        <v>45485</v>
      </c>
      <c r="C1390" t="s">
        <v>13</v>
      </c>
      <c r="D1390" t="s">
        <v>20</v>
      </c>
      <c r="E1390" t="s">
        <v>32</v>
      </c>
      <c r="F1390">
        <v>2</v>
      </c>
      <c r="G1390">
        <v>199</v>
      </c>
      <c r="H1390">
        <v>398</v>
      </c>
    </row>
    <row r="1391" spans="1:8" x14ac:dyDescent="0.25">
      <c r="A1391" t="s">
        <v>1472</v>
      </c>
      <c r="B1391" s="1">
        <v>45042</v>
      </c>
      <c r="C1391" t="s">
        <v>119</v>
      </c>
      <c r="D1391" t="s">
        <v>17</v>
      </c>
      <c r="E1391" t="s">
        <v>11</v>
      </c>
      <c r="F1391">
        <v>3</v>
      </c>
      <c r="G1391">
        <v>131</v>
      </c>
      <c r="H1391">
        <v>393</v>
      </c>
    </row>
    <row r="1392" spans="1:8" x14ac:dyDescent="0.25">
      <c r="A1392" t="s">
        <v>317</v>
      </c>
      <c r="B1392" s="1">
        <v>45426</v>
      </c>
      <c r="C1392" t="s">
        <v>300</v>
      </c>
      <c r="D1392" t="s">
        <v>10</v>
      </c>
      <c r="E1392" t="s">
        <v>32</v>
      </c>
      <c r="F1392">
        <v>2</v>
      </c>
      <c r="G1392">
        <v>196</v>
      </c>
      <c r="H1392">
        <v>392</v>
      </c>
    </row>
    <row r="1393" spans="1:8" x14ac:dyDescent="0.25">
      <c r="A1393" t="s">
        <v>617</v>
      </c>
      <c r="B1393" s="1">
        <v>45378</v>
      </c>
      <c r="C1393" t="s">
        <v>618</v>
      </c>
      <c r="D1393" t="s">
        <v>27</v>
      </c>
      <c r="E1393" t="s">
        <v>14</v>
      </c>
      <c r="F1393">
        <v>3</v>
      </c>
      <c r="G1393">
        <v>130</v>
      </c>
      <c r="H1393">
        <v>390</v>
      </c>
    </row>
    <row r="1394" spans="1:8" x14ac:dyDescent="0.25">
      <c r="A1394" t="s">
        <v>1766</v>
      </c>
      <c r="B1394" s="1">
        <v>45502</v>
      </c>
      <c r="C1394" t="s">
        <v>1150</v>
      </c>
      <c r="D1394" t="s">
        <v>10</v>
      </c>
      <c r="E1394" t="s">
        <v>14</v>
      </c>
      <c r="F1394">
        <v>2</v>
      </c>
      <c r="G1394">
        <v>195</v>
      </c>
      <c r="H1394">
        <v>390</v>
      </c>
    </row>
    <row r="1395" spans="1:8" x14ac:dyDescent="0.25">
      <c r="A1395" t="s">
        <v>1505</v>
      </c>
      <c r="B1395" s="1">
        <v>45133</v>
      </c>
      <c r="C1395" t="s">
        <v>396</v>
      </c>
      <c r="D1395" t="s">
        <v>27</v>
      </c>
      <c r="E1395" t="s">
        <v>11</v>
      </c>
      <c r="F1395">
        <v>2</v>
      </c>
      <c r="G1395">
        <v>192</v>
      </c>
      <c r="H1395">
        <v>384</v>
      </c>
    </row>
    <row r="1396" spans="1:8" x14ac:dyDescent="0.25">
      <c r="A1396" t="s">
        <v>103</v>
      </c>
      <c r="B1396" s="1">
        <v>45193</v>
      </c>
      <c r="C1396" t="s">
        <v>104</v>
      </c>
      <c r="D1396" t="s">
        <v>27</v>
      </c>
      <c r="E1396" t="s">
        <v>25</v>
      </c>
      <c r="F1396">
        <v>2</v>
      </c>
      <c r="G1396">
        <v>190</v>
      </c>
      <c r="H1396">
        <v>380</v>
      </c>
    </row>
    <row r="1397" spans="1:8" x14ac:dyDescent="0.25">
      <c r="A1397" t="s">
        <v>180</v>
      </c>
      <c r="B1397" s="1">
        <v>45436</v>
      </c>
      <c r="C1397" t="s">
        <v>181</v>
      </c>
      <c r="D1397" t="s">
        <v>10</v>
      </c>
      <c r="E1397" t="s">
        <v>32</v>
      </c>
      <c r="F1397">
        <v>1</v>
      </c>
      <c r="G1397">
        <v>380</v>
      </c>
      <c r="H1397">
        <v>380</v>
      </c>
    </row>
    <row r="1398" spans="1:8" x14ac:dyDescent="0.25">
      <c r="A1398" t="s">
        <v>1559</v>
      </c>
      <c r="B1398" s="1">
        <v>45472</v>
      </c>
      <c r="C1398" t="s">
        <v>820</v>
      </c>
      <c r="D1398" t="s">
        <v>27</v>
      </c>
      <c r="E1398" t="s">
        <v>14</v>
      </c>
      <c r="F1398">
        <v>1</v>
      </c>
      <c r="G1398">
        <v>380</v>
      </c>
      <c r="H1398">
        <v>380</v>
      </c>
    </row>
    <row r="1399" spans="1:8" x14ac:dyDescent="0.25">
      <c r="A1399" t="s">
        <v>533</v>
      </c>
      <c r="B1399" s="1">
        <v>45395</v>
      </c>
      <c r="C1399" t="s">
        <v>276</v>
      </c>
      <c r="D1399" t="s">
        <v>17</v>
      </c>
      <c r="E1399" t="s">
        <v>25</v>
      </c>
      <c r="F1399">
        <v>3</v>
      </c>
      <c r="G1399">
        <v>126</v>
      </c>
      <c r="H1399">
        <v>378</v>
      </c>
    </row>
    <row r="1400" spans="1:8" x14ac:dyDescent="0.25">
      <c r="A1400" t="s">
        <v>1189</v>
      </c>
      <c r="B1400" s="1">
        <v>45595</v>
      </c>
      <c r="C1400" t="s">
        <v>499</v>
      </c>
      <c r="D1400" t="s">
        <v>10</v>
      </c>
      <c r="E1400" t="s">
        <v>11</v>
      </c>
      <c r="F1400">
        <v>2</v>
      </c>
      <c r="G1400">
        <v>185</v>
      </c>
      <c r="H1400">
        <v>370</v>
      </c>
    </row>
    <row r="1401" spans="1:8" x14ac:dyDescent="0.25">
      <c r="A1401" t="s">
        <v>1765</v>
      </c>
      <c r="B1401" s="1">
        <v>45011</v>
      </c>
      <c r="C1401" t="s">
        <v>240</v>
      </c>
      <c r="D1401" t="s">
        <v>10</v>
      </c>
      <c r="E1401" t="s">
        <v>25</v>
      </c>
      <c r="F1401">
        <v>1</v>
      </c>
      <c r="G1401">
        <v>370</v>
      </c>
      <c r="H1401">
        <v>370</v>
      </c>
    </row>
    <row r="1402" spans="1:8" x14ac:dyDescent="0.25">
      <c r="A1402" t="s">
        <v>310</v>
      </c>
      <c r="B1402" s="1">
        <v>45425</v>
      </c>
      <c r="C1402" t="s">
        <v>80</v>
      </c>
      <c r="D1402" t="s">
        <v>17</v>
      </c>
      <c r="E1402" t="s">
        <v>32</v>
      </c>
      <c r="F1402">
        <v>1</v>
      </c>
      <c r="G1402">
        <v>365</v>
      </c>
      <c r="H1402">
        <v>365</v>
      </c>
    </row>
    <row r="1403" spans="1:8" x14ac:dyDescent="0.25">
      <c r="A1403" t="s">
        <v>1233</v>
      </c>
      <c r="B1403" s="1">
        <v>45013</v>
      </c>
      <c r="C1403" t="s">
        <v>156</v>
      </c>
      <c r="D1403" t="s">
        <v>10</v>
      </c>
      <c r="E1403" t="s">
        <v>32</v>
      </c>
      <c r="F1403">
        <v>1</v>
      </c>
      <c r="G1403">
        <v>362</v>
      </c>
      <c r="H1403">
        <v>362</v>
      </c>
    </row>
    <row r="1404" spans="1:8" x14ac:dyDescent="0.25">
      <c r="A1404" t="s">
        <v>1783</v>
      </c>
      <c r="B1404" s="1">
        <v>45445</v>
      </c>
      <c r="C1404" t="s">
        <v>236</v>
      </c>
      <c r="D1404" t="s">
        <v>20</v>
      </c>
      <c r="E1404" t="s">
        <v>11</v>
      </c>
      <c r="F1404">
        <v>1</v>
      </c>
      <c r="G1404">
        <v>351</v>
      </c>
      <c r="H1404">
        <v>351</v>
      </c>
    </row>
    <row r="1405" spans="1:8" x14ac:dyDescent="0.25">
      <c r="A1405" t="s">
        <v>1565</v>
      </c>
      <c r="B1405" s="1">
        <v>45529</v>
      </c>
      <c r="C1405" t="s">
        <v>1096</v>
      </c>
      <c r="D1405" t="s">
        <v>27</v>
      </c>
      <c r="E1405" t="s">
        <v>11</v>
      </c>
      <c r="F1405">
        <v>1</v>
      </c>
      <c r="G1405">
        <v>348</v>
      </c>
      <c r="H1405">
        <v>348</v>
      </c>
    </row>
    <row r="1406" spans="1:8" x14ac:dyDescent="0.25">
      <c r="A1406" t="s">
        <v>582</v>
      </c>
      <c r="B1406" s="1">
        <v>45384</v>
      </c>
      <c r="C1406" t="s">
        <v>583</v>
      </c>
      <c r="D1406" t="s">
        <v>17</v>
      </c>
      <c r="E1406" t="s">
        <v>11</v>
      </c>
      <c r="F1406">
        <v>1</v>
      </c>
      <c r="G1406">
        <v>347</v>
      </c>
      <c r="H1406">
        <v>347</v>
      </c>
    </row>
    <row r="1407" spans="1:8" x14ac:dyDescent="0.25">
      <c r="A1407" t="s">
        <v>1250</v>
      </c>
      <c r="B1407" s="1">
        <v>45498</v>
      </c>
      <c r="C1407" t="s">
        <v>432</v>
      </c>
      <c r="D1407" t="s">
        <v>10</v>
      </c>
      <c r="E1407" t="s">
        <v>32</v>
      </c>
      <c r="F1407">
        <v>1</v>
      </c>
      <c r="G1407">
        <v>345</v>
      </c>
      <c r="H1407">
        <v>345</v>
      </c>
    </row>
    <row r="1408" spans="1:8" x14ac:dyDescent="0.25">
      <c r="A1408" t="s">
        <v>220</v>
      </c>
      <c r="B1408" s="1">
        <v>45481</v>
      </c>
      <c r="C1408" t="s">
        <v>221</v>
      </c>
      <c r="D1408" t="s">
        <v>20</v>
      </c>
      <c r="E1408" t="s">
        <v>32</v>
      </c>
      <c r="F1408">
        <v>3</v>
      </c>
      <c r="G1408">
        <v>114</v>
      </c>
      <c r="H1408">
        <v>342</v>
      </c>
    </row>
    <row r="1409" spans="1:8" x14ac:dyDescent="0.25">
      <c r="A1409" t="s">
        <v>1627</v>
      </c>
      <c r="B1409" s="1">
        <v>45081</v>
      </c>
      <c r="C1409" t="s">
        <v>356</v>
      </c>
      <c r="D1409" t="s">
        <v>10</v>
      </c>
      <c r="E1409" t="s">
        <v>11</v>
      </c>
      <c r="F1409">
        <v>1</v>
      </c>
      <c r="G1409">
        <v>338</v>
      </c>
      <c r="H1409">
        <v>338</v>
      </c>
    </row>
    <row r="1410" spans="1:8" x14ac:dyDescent="0.25">
      <c r="A1410" t="s">
        <v>1397</v>
      </c>
      <c r="B1410" s="1">
        <v>45272</v>
      </c>
      <c r="C1410" t="s">
        <v>320</v>
      </c>
      <c r="D1410" t="s">
        <v>10</v>
      </c>
      <c r="E1410" t="s">
        <v>14</v>
      </c>
      <c r="F1410">
        <v>1</v>
      </c>
      <c r="G1410">
        <v>337</v>
      </c>
      <c r="H1410">
        <v>337</v>
      </c>
    </row>
    <row r="1411" spans="1:8" x14ac:dyDescent="0.25">
      <c r="A1411" t="s">
        <v>359</v>
      </c>
      <c r="B1411" s="1">
        <v>45140</v>
      </c>
      <c r="C1411" t="s">
        <v>360</v>
      </c>
      <c r="D1411" t="s">
        <v>10</v>
      </c>
      <c r="E1411" t="s">
        <v>14</v>
      </c>
      <c r="F1411">
        <v>1</v>
      </c>
      <c r="G1411">
        <v>336</v>
      </c>
      <c r="H1411">
        <v>336</v>
      </c>
    </row>
    <row r="1412" spans="1:8" x14ac:dyDescent="0.25">
      <c r="A1412" t="s">
        <v>1542</v>
      </c>
      <c r="B1412" s="1">
        <v>44927</v>
      </c>
      <c r="C1412" t="s">
        <v>330</v>
      </c>
      <c r="D1412" t="s">
        <v>17</v>
      </c>
      <c r="E1412" t="s">
        <v>11</v>
      </c>
      <c r="F1412">
        <v>1</v>
      </c>
      <c r="G1412">
        <v>335</v>
      </c>
      <c r="H1412">
        <v>335</v>
      </c>
    </row>
    <row r="1413" spans="1:8" x14ac:dyDescent="0.25">
      <c r="A1413" t="s">
        <v>1380</v>
      </c>
      <c r="B1413" s="1">
        <v>45215</v>
      </c>
      <c r="C1413" t="s">
        <v>278</v>
      </c>
      <c r="D1413" t="s">
        <v>20</v>
      </c>
      <c r="E1413" t="s">
        <v>25</v>
      </c>
      <c r="F1413">
        <v>2</v>
      </c>
      <c r="G1413">
        <v>167</v>
      </c>
      <c r="H1413">
        <v>334</v>
      </c>
    </row>
    <row r="1414" spans="1:8" x14ac:dyDescent="0.25">
      <c r="A1414" t="s">
        <v>896</v>
      </c>
      <c r="B1414" s="1">
        <v>45097</v>
      </c>
      <c r="C1414" t="s">
        <v>614</v>
      </c>
      <c r="D1414" t="s">
        <v>17</v>
      </c>
      <c r="E1414" t="s">
        <v>35</v>
      </c>
      <c r="F1414">
        <v>3</v>
      </c>
      <c r="G1414">
        <v>111</v>
      </c>
      <c r="H1414">
        <v>333</v>
      </c>
    </row>
    <row r="1415" spans="1:8" x14ac:dyDescent="0.25">
      <c r="A1415" t="s">
        <v>916</v>
      </c>
      <c r="B1415" s="1">
        <v>45249</v>
      </c>
      <c r="C1415" t="s">
        <v>254</v>
      </c>
      <c r="D1415" t="s">
        <v>27</v>
      </c>
      <c r="E1415" t="s">
        <v>14</v>
      </c>
      <c r="F1415">
        <v>2</v>
      </c>
      <c r="G1415">
        <v>166</v>
      </c>
      <c r="H1415">
        <v>332</v>
      </c>
    </row>
    <row r="1416" spans="1:8" x14ac:dyDescent="0.25">
      <c r="A1416" t="s">
        <v>1209</v>
      </c>
      <c r="B1416" s="1">
        <v>45514</v>
      </c>
      <c r="C1416" t="s">
        <v>583</v>
      </c>
      <c r="D1416" t="s">
        <v>10</v>
      </c>
      <c r="E1416" t="s">
        <v>32</v>
      </c>
      <c r="F1416">
        <v>2</v>
      </c>
      <c r="G1416">
        <v>164</v>
      </c>
      <c r="H1416">
        <v>328</v>
      </c>
    </row>
    <row r="1417" spans="1:8" x14ac:dyDescent="0.25">
      <c r="A1417" t="s">
        <v>830</v>
      </c>
      <c r="B1417" s="1">
        <v>45367</v>
      </c>
      <c r="C1417" t="s">
        <v>562</v>
      </c>
      <c r="D1417" t="s">
        <v>20</v>
      </c>
      <c r="E1417" t="s">
        <v>35</v>
      </c>
      <c r="F1417">
        <v>3</v>
      </c>
      <c r="G1417">
        <v>109</v>
      </c>
      <c r="H1417">
        <v>327</v>
      </c>
    </row>
    <row r="1418" spans="1:8" x14ac:dyDescent="0.25">
      <c r="A1418" t="s">
        <v>1367</v>
      </c>
      <c r="B1418" s="1">
        <v>45238</v>
      </c>
      <c r="C1418" t="s">
        <v>138</v>
      </c>
      <c r="D1418" t="s">
        <v>17</v>
      </c>
      <c r="E1418" t="s">
        <v>35</v>
      </c>
      <c r="F1418">
        <v>2</v>
      </c>
      <c r="G1418">
        <v>163</v>
      </c>
      <c r="H1418">
        <v>326</v>
      </c>
    </row>
    <row r="1419" spans="1:8" x14ac:dyDescent="0.25">
      <c r="A1419" t="s">
        <v>1635</v>
      </c>
      <c r="B1419" s="1">
        <v>45589</v>
      </c>
      <c r="C1419" t="s">
        <v>1294</v>
      </c>
      <c r="D1419" t="s">
        <v>20</v>
      </c>
      <c r="E1419" t="s">
        <v>35</v>
      </c>
      <c r="F1419">
        <v>3</v>
      </c>
      <c r="G1419">
        <v>107</v>
      </c>
      <c r="H1419">
        <v>321</v>
      </c>
    </row>
    <row r="1420" spans="1:8" x14ac:dyDescent="0.25">
      <c r="A1420" t="s">
        <v>1713</v>
      </c>
      <c r="B1420" s="1">
        <v>45376</v>
      </c>
      <c r="C1420" t="s">
        <v>477</v>
      </c>
      <c r="D1420" t="s">
        <v>17</v>
      </c>
      <c r="E1420" t="s">
        <v>25</v>
      </c>
      <c r="F1420">
        <v>1</v>
      </c>
      <c r="G1420">
        <v>319</v>
      </c>
      <c r="H1420">
        <v>319</v>
      </c>
    </row>
    <row r="1421" spans="1:8" x14ac:dyDescent="0.25">
      <c r="A1421" t="s">
        <v>1652</v>
      </c>
      <c r="B1421" s="1">
        <v>44980</v>
      </c>
      <c r="C1421" t="s">
        <v>558</v>
      </c>
      <c r="D1421" t="s">
        <v>27</v>
      </c>
      <c r="E1421" t="s">
        <v>32</v>
      </c>
      <c r="F1421">
        <v>1</v>
      </c>
      <c r="G1421">
        <v>316</v>
      </c>
      <c r="H1421">
        <v>316</v>
      </c>
    </row>
    <row r="1422" spans="1:8" x14ac:dyDescent="0.25">
      <c r="A1422" t="s">
        <v>669</v>
      </c>
      <c r="B1422" s="1">
        <v>45183</v>
      </c>
      <c r="C1422" t="s">
        <v>211</v>
      </c>
      <c r="D1422" t="s">
        <v>20</v>
      </c>
      <c r="E1422" t="s">
        <v>32</v>
      </c>
      <c r="F1422">
        <v>3</v>
      </c>
      <c r="G1422">
        <v>103</v>
      </c>
      <c r="H1422">
        <v>309</v>
      </c>
    </row>
    <row r="1423" spans="1:8" x14ac:dyDescent="0.25">
      <c r="A1423" t="s">
        <v>1736</v>
      </c>
      <c r="B1423" s="1">
        <v>45567</v>
      </c>
      <c r="C1423" t="s">
        <v>1357</v>
      </c>
      <c r="D1423" t="s">
        <v>17</v>
      </c>
      <c r="E1423" t="s">
        <v>25</v>
      </c>
      <c r="F1423">
        <v>3</v>
      </c>
      <c r="G1423">
        <v>103</v>
      </c>
      <c r="H1423">
        <v>309</v>
      </c>
    </row>
    <row r="1424" spans="1:8" x14ac:dyDescent="0.25">
      <c r="A1424" t="s">
        <v>1084</v>
      </c>
      <c r="B1424" s="1">
        <v>44997</v>
      </c>
      <c r="C1424" t="s">
        <v>226</v>
      </c>
      <c r="D1424" t="s">
        <v>10</v>
      </c>
      <c r="E1424" t="s">
        <v>35</v>
      </c>
      <c r="F1424">
        <v>3</v>
      </c>
      <c r="G1424">
        <v>102</v>
      </c>
      <c r="H1424">
        <v>306</v>
      </c>
    </row>
    <row r="1425" spans="1:8" x14ac:dyDescent="0.25">
      <c r="A1425" t="s">
        <v>999</v>
      </c>
      <c r="B1425" s="1">
        <v>45078</v>
      </c>
      <c r="C1425" t="s">
        <v>1000</v>
      </c>
      <c r="D1425" t="s">
        <v>27</v>
      </c>
      <c r="E1425" t="s">
        <v>11</v>
      </c>
      <c r="F1425">
        <v>2</v>
      </c>
      <c r="G1425">
        <v>151</v>
      </c>
      <c r="H1425">
        <v>302</v>
      </c>
    </row>
    <row r="1426" spans="1:8" x14ac:dyDescent="0.25">
      <c r="A1426" t="s">
        <v>910</v>
      </c>
      <c r="B1426" s="1">
        <v>45040</v>
      </c>
      <c r="C1426" t="s">
        <v>560</v>
      </c>
      <c r="D1426" t="s">
        <v>20</v>
      </c>
      <c r="E1426" t="s">
        <v>25</v>
      </c>
      <c r="F1426">
        <v>1</v>
      </c>
      <c r="G1426">
        <v>301</v>
      </c>
      <c r="H1426">
        <v>301</v>
      </c>
    </row>
    <row r="1427" spans="1:8" x14ac:dyDescent="0.25">
      <c r="A1427" t="s">
        <v>720</v>
      </c>
      <c r="B1427" s="1">
        <v>45206</v>
      </c>
      <c r="C1427" t="s">
        <v>236</v>
      </c>
      <c r="D1427" t="s">
        <v>20</v>
      </c>
      <c r="E1427" t="s">
        <v>35</v>
      </c>
      <c r="F1427">
        <v>2</v>
      </c>
      <c r="G1427">
        <v>147</v>
      </c>
      <c r="H1427">
        <v>294</v>
      </c>
    </row>
    <row r="1428" spans="1:8" x14ac:dyDescent="0.25">
      <c r="A1428" t="s">
        <v>1074</v>
      </c>
      <c r="B1428" s="1">
        <v>45280</v>
      </c>
      <c r="C1428" t="s">
        <v>1075</v>
      </c>
      <c r="D1428" t="s">
        <v>10</v>
      </c>
      <c r="E1428" t="s">
        <v>11</v>
      </c>
      <c r="F1428">
        <v>2</v>
      </c>
      <c r="G1428">
        <v>147</v>
      </c>
      <c r="H1428">
        <v>294</v>
      </c>
    </row>
    <row r="1429" spans="1:8" x14ac:dyDescent="0.25">
      <c r="A1429" t="s">
        <v>79</v>
      </c>
      <c r="B1429" s="1">
        <v>44980</v>
      </c>
      <c r="C1429" t="s">
        <v>80</v>
      </c>
      <c r="D1429" t="s">
        <v>17</v>
      </c>
      <c r="E1429" t="s">
        <v>35</v>
      </c>
      <c r="F1429">
        <v>1</v>
      </c>
      <c r="G1429">
        <v>289</v>
      </c>
      <c r="H1429">
        <v>289</v>
      </c>
    </row>
    <row r="1430" spans="1:8" x14ac:dyDescent="0.25">
      <c r="A1430" t="s">
        <v>1546</v>
      </c>
      <c r="B1430" s="1">
        <v>45469</v>
      </c>
      <c r="C1430" t="s">
        <v>289</v>
      </c>
      <c r="D1430" t="s">
        <v>17</v>
      </c>
      <c r="E1430" t="s">
        <v>14</v>
      </c>
      <c r="F1430">
        <v>1</v>
      </c>
      <c r="G1430">
        <v>287</v>
      </c>
      <c r="H1430">
        <v>287</v>
      </c>
    </row>
    <row r="1431" spans="1:8" x14ac:dyDescent="0.25">
      <c r="A1431" t="s">
        <v>1676</v>
      </c>
      <c r="B1431" s="1">
        <v>45246</v>
      </c>
      <c r="C1431" t="s">
        <v>1395</v>
      </c>
      <c r="D1431" t="s">
        <v>10</v>
      </c>
      <c r="E1431" t="s">
        <v>25</v>
      </c>
      <c r="F1431">
        <v>1</v>
      </c>
      <c r="G1431">
        <v>283</v>
      </c>
      <c r="H1431">
        <v>283</v>
      </c>
    </row>
    <row r="1432" spans="1:8" x14ac:dyDescent="0.25">
      <c r="A1432" t="s">
        <v>1444</v>
      </c>
      <c r="B1432" s="1">
        <v>45012</v>
      </c>
      <c r="C1432" t="s">
        <v>1144</v>
      </c>
      <c r="D1432" t="s">
        <v>20</v>
      </c>
      <c r="E1432" t="s">
        <v>11</v>
      </c>
      <c r="F1432">
        <v>2</v>
      </c>
      <c r="G1432">
        <v>141</v>
      </c>
      <c r="H1432">
        <v>282</v>
      </c>
    </row>
    <row r="1433" spans="1:8" x14ac:dyDescent="0.25">
      <c r="A1433" t="s">
        <v>732</v>
      </c>
      <c r="B1433" s="1">
        <v>45062</v>
      </c>
      <c r="C1433" t="s">
        <v>417</v>
      </c>
      <c r="D1433" t="s">
        <v>27</v>
      </c>
      <c r="E1433" t="s">
        <v>14</v>
      </c>
      <c r="F1433">
        <v>1</v>
      </c>
      <c r="G1433">
        <v>280</v>
      </c>
      <c r="H1433">
        <v>280</v>
      </c>
    </row>
    <row r="1434" spans="1:8" x14ac:dyDescent="0.25">
      <c r="A1434" t="s">
        <v>1038</v>
      </c>
      <c r="B1434" s="1">
        <v>45289</v>
      </c>
      <c r="C1434" t="s">
        <v>228</v>
      </c>
      <c r="D1434" t="s">
        <v>27</v>
      </c>
      <c r="E1434" t="s">
        <v>32</v>
      </c>
      <c r="F1434">
        <v>1</v>
      </c>
      <c r="G1434">
        <v>275</v>
      </c>
      <c r="H1434">
        <v>275</v>
      </c>
    </row>
    <row r="1435" spans="1:8" x14ac:dyDescent="0.25">
      <c r="A1435" t="s">
        <v>1063</v>
      </c>
      <c r="B1435" s="1">
        <v>45324</v>
      </c>
      <c r="C1435" t="s">
        <v>795</v>
      </c>
      <c r="D1435" t="s">
        <v>20</v>
      </c>
      <c r="E1435" t="s">
        <v>35</v>
      </c>
      <c r="F1435">
        <v>1</v>
      </c>
      <c r="G1435">
        <v>271</v>
      </c>
      <c r="H1435">
        <v>271</v>
      </c>
    </row>
    <row r="1436" spans="1:8" x14ac:dyDescent="0.25">
      <c r="A1436" t="s">
        <v>1141</v>
      </c>
      <c r="B1436" s="1">
        <v>45522</v>
      </c>
      <c r="C1436" t="s">
        <v>824</v>
      </c>
      <c r="D1436" t="s">
        <v>17</v>
      </c>
      <c r="E1436" t="s">
        <v>14</v>
      </c>
      <c r="F1436">
        <v>2</v>
      </c>
      <c r="G1436">
        <v>135</v>
      </c>
      <c r="H1436">
        <v>270</v>
      </c>
    </row>
    <row r="1437" spans="1:8" x14ac:dyDescent="0.25">
      <c r="A1437" t="s">
        <v>1469</v>
      </c>
      <c r="B1437" s="1">
        <v>45276</v>
      </c>
      <c r="C1437" t="s">
        <v>401</v>
      </c>
      <c r="D1437" t="s">
        <v>27</v>
      </c>
      <c r="E1437" t="s">
        <v>32</v>
      </c>
      <c r="F1437">
        <v>1</v>
      </c>
      <c r="G1437">
        <v>268</v>
      </c>
      <c r="H1437">
        <v>268</v>
      </c>
    </row>
    <row r="1438" spans="1:8" x14ac:dyDescent="0.25">
      <c r="A1438" t="s">
        <v>943</v>
      </c>
      <c r="B1438" s="1">
        <v>45016</v>
      </c>
      <c r="C1438" t="s">
        <v>24</v>
      </c>
      <c r="D1438" t="s">
        <v>17</v>
      </c>
      <c r="E1438" t="s">
        <v>11</v>
      </c>
      <c r="F1438">
        <v>1</v>
      </c>
      <c r="G1438">
        <v>267</v>
      </c>
      <c r="H1438">
        <v>267</v>
      </c>
    </row>
    <row r="1439" spans="1:8" x14ac:dyDescent="0.25">
      <c r="A1439" t="s">
        <v>372</v>
      </c>
      <c r="B1439" s="1">
        <v>45202</v>
      </c>
      <c r="C1439" t="s">
        <v>373</v>
      </c>
      <c r="D1439" t="s">
        <v>27</v>
      </c>
      <c r="E1439" t="s">
        <v>32</v>
      </c>
      <c r="F1439">
        <v>1</v>
      </c>
      <c r="G1439">
        <v>263</v>
      </c>
      <c r="H1439">
        <v>263</v>
      </c>
    </row>
    <row r="1440" spans="1:8" x14ac:dyDescent="0.25">
      <c r="A1440" t="s">
        <v>1204</v>
      </c>
      <c r="B1440" s="1">
        <v>45495</v>
      </c>
      <c r="C1440" t="s">
        <v>313</v>
      </c>
      <c r="D1440" t="s">
        <v>20</v>
      </c>
      <c r="E1440" t="s">
        <v>11</v>
      </c>
      <c r="F1440">
        <v>1</v>
      </c>
      <c r="G1440">
        <v>262</v>
      </c>
      <c r="H1440">
        <v>262</v>
      </c>
    </row>
    <row r="1441" spans="1:8" x14ac:dyDescent="0.25">
      <c r="A1441" t="s">
        <v>1768</v>
      </c>
      <c r="B1441" s="1">
        <v>44983</v>
      </c>
      <c r="C1441" t="s">
        <v>870</v>
      </c>
      <c r="D1441" t="s">
        <v>27</v>
      </c>
      <c r="E1441" t="s">
        <v>14</v>
      </c>
      <c r="F1441">
        <v>2</v>
      </c>
      <c r="G1441">
        <v>131</v>
      </c>
      <c r="H1441">
        <v>262</v>
      </c>
    </row>
    <row r="1442" spans="1:8" x14ac:dyDescent="0.25">
      <c r="A1442" t="s">
        <v>552</v>
      </c>
      <c r="B1442" s="1">
        <v>44964</v>
      </c>
      <c r="C1442" t="s">
        <v>553</v>
      </c>
      <c r="D1442" t="s">
        <v>20</v>
      </c>
      <c r="E1442" t="s">
        <v>14</v>
      </c>
      <c r="F1442">
        <v>1</v>
      </c>
      <c r="G1442">
        <v>260</v>
      </c>
      <c r="H1442">
        <v>260</v>
      </c>
    </row>
    <row r="1443" spans="1:8" x14ac:dyDescent="0.25">
      <c r="A1443" t="s">
        <v>1514</v>
      </c>
      <c r="B1443" s="1">
        <v>45276</v>
      </c>
      <c r="C1443" t="s">
        <v>125</v>
      </c>
      <c r="D1443" t="s">
        <v>17</v>
      </c>
      <c r="E1443" t="s">
        <v>32</v>
      </c>
      <c r="F1443">
        <v>1</v>
      </c>
      <c r="G1443">
        <v>260</v>
      </c>
      <c r="H1443">
        <v>260</v>
      </c>
    </row>
    <row r="1444" spans="1:8" x14ac:dyDescent="0.25">
      <c r="A1444" t="s">
        <v>691</v>
      </c>
      <c r="B1444" s="1">
        <v>45280</v>
      </c>
      <c r="C1444" t="s">
        <v>102</v>
      </c>
      <c r="D1444" t="s">
        <v>20</v>
      </c>
      <c r="E1444" t="s">
        <v>32</v>
      </c>
      <c r="F1444">
        <v>2</v>
      </c>
      <c r="G1444">
        <v>129</v>
      </c>
      <c r="H1444">
        <v>258</v>
      </c>
    </row>
    <row r="1445" spans="1:8" x14ac:dyDescent="0.25">
      <c r="A1445" t="s">
        <v>534</v>
      </c>
      <c r="B1445" s="1">
        <v>45062</v>
      </c>
      <c r="C1445" t="s">
        <v>300</v>
      </c>
      <c r="D1445" t="s">
        <v>27</v>
      </c>
      <c r="E1445" t="s">
        <v>14</v>
      </c>
      <c r="F1445">
        <v>1</v>
      </c>
      <c r="G1445">
        <v>256</v>
      </c>
      <c r="H1445">
        <v>256</v>
      </c>
    </row>
    <row r="1446" spans="1:8" x14ac:dyDescent="0.25">
      <c r="A1446" t="s">
        <v>1481</v>
      </c>
      <c r="B1446" s="1">
        <v>44981</v>
      </c>
      <c r="C1446" t="s">
        <v>354</v>
      </c>
      <c r="D1446" t="s">
        <v>10</v>
      </c>
      <c r="E1446" t="s">
        <v>11</v>
      </c>
      <c r="F1446">
        <v>1</v>
      </c>
      <c r="G1446">
        <v>252</v>
      </c>
      <c r="H1446">
        <v>252</v>
      </c>
    </row>
    <row r="1447" spans="1:8" x14ac:dyDescent="0.25">
      <c r="A1447" t="s">
        <v>712</v>
      </c>
      <c r="B1447" s="1">
        <v>45261</v>
      </c>
      <c r="C1447" t="s">
        <v>9</v>
      </c>
      <c r="D1447" t="s">
        <v>10</v>
      </c>
      <c r="E1447" t="s">
        <v>25</v>
      </c>
      <c r="F1447">
        <v>1</v>
      </c>
      <c r="G1447">
        <v>249</v>
      </c>
      <c r="H1447">
        <v>249</v>
      </c>
    </row>
    <row r="1448" spans="1:8" x14ac:dyDescent="0.25">
      <c r="A1448" t="s">
        <v>1142</v>
      </c>
      <c r="B1448" s="1">
        <v>45482</v>
      </c>
      <c r="C1448" t="s">
        <v>1037</v>
      </c>
      <c r="D1448" t="s">
        <v>17</v>
      </c>
      <c r="E1448" t="s">
        <v>35</v>
      </c>
      <c r="F1448">
        <v>1</v>
      </c>
      <c r="G1448">
        <v>246</v>
      </c>
      <c r="H1448">
        <v>246</v>
      </c>
    </row>
    <row r="1449" spans="1:8" x14ac:dyDescent="0.25">
      <c r="A1449" t="s">
        <v>269</v>
      </c>
      <c r="B1449" s="1">
        <v>44989</v>
      </c>
      <c r="C1449" t="s">
        <v>270</v>
      </c>
      <c r="D1449" t="s">
        <v>10</v>
      </c>
      <c r="E1449" t="s">
        <v>25</v>
      </c>
      <c r="F1449">
        <v>2</v>
      </c>
      <c r="G1449">
        <v>122</v>
      </c>
      <c r="H1449">
        <v>244</v>
      </c>
    </row>
    <row r="1450" spans="1:8" x14ac:dyDescent="0.25">
      <c r="A1450" t="s">
        <v>428</v>
      </c>
      <c r="B1450" s="1">
        <v>45260</v>
      </c>
      <c r="C1450" t="s">
        <v>429</v>
      </c>
      <c r="D1450" t="s">
        <v>27</v>
      </c>
      <c r="E1450" t="s">
        <v>11</v>
      </c>
      <c r="F1450">
        <v>1</v>
      </c>
      <c r="G1450">
        <v>238</v>
      </c>
      <c r="H1450">
        <v>238</v>
      </c>
    </row>
    <row r="1451" spans="1:8" x14ac:dyDescent="0.25">
      <c r="A1451" t="s">
        <v>908</v>
      </c>
      <c r="B1451" s="1">
        <v>45434</v>
      </c>
      <c r="C1451" t="s">
        <v>63</v>
      </c>
      <c r="D1451" t="s">
        <v>10</v>
      </c>
      <c r="E1451" t="s">
        <v>14</v>
      </c>
      <c r="F1451">
        <v>1</v>
      </c>
      <c r="G1451">
        <v>238</v>
      </c>
      <c r="H1451">
        <v>238</v>
      </c>
    </row>
    <row r="1452" spans="1:8" x14ac:dyDescent="0.25">
      <c r="A1452" t="s">
        <v>1439</v>
      </c>
      <c r="B1452" s="1">
        <v>44948</v>
      </c>
      <c r="C1452" t="s">
        <v>352</v>
      </c>
      <c r="D1452" t="s">
        <v>17</v>
      </c>
      <c r="E1452" t="s">
        <v>25</v>
      </c>
      <c r="F1452">
        <v>1</v>
      </c>
      <c r="G1452">
        <v>235</v>
      </c>
      <c r="H1452">
        <v>235</v>
      </c>
    </row>
    <row r="1453" spans="1:8" x14ac:dyDescent="0.25">
      <c r="A1453" t="s">
        <v>1538</v>
      </c>
      <c r="B1453" s="1">
        <v>45332</v>
      </c>
      <c r="C1453" t="s">
        <v>737</v>
      </c>
      <c r="D1453" t="s">
        <v>17</v>
      </c>
      <c r="E1453" t="s">
        <v>11</v>
      </c>
      <c r="F1453">
        <v>1</v>
      </c>
      <c r="G1453">
        <v>234</v>
      </c>
      <c r="H1453">
        <v>234</v>
      </c>
    </row>
    <row r="1454" spans="1:8" x14ac:dyDescent="0.25">
      <c r="A1454" t="s">
        <v>1382</v>
      </c>
      <c r="B1454" s="1">
        <v>45200</v>
      </c>
      <c r="C1454" t="s">
        <v>138</v>
      </c>
      <c r="D1454" t="s">
        <v>10</v>
      </c>
      <c r="E1454" t="s">
        <v>11</v>
      </c>
      <c r="F1454">
        <v>1</v>
      </c>
      <c r="G1454">
        <v>233</v>
      </c>
      <c r="H1454">
        <v>233</v>
      </c>
    </row>
    <row r="1455" spans="1:8" x14ac:dyDescent="0.25">
      <c r="A1455" t="s">
        <v>1643</v>
      </c>
      <c r="B1455" s="1">
        <v>45375</v>
      </c>
      <c r="C1455" t="s">
        <v>600</v>
      </c>
      <c r="D1455" t="s">
        <v>17</v>
      </c>
      <c r="E1455" t="s">
        <v>11</v>
      </c>
      <c r="F1455">
        <v>1</v>
      </c>
      <c r="G1455">
        <v>231</v>
      </c>
      <c r="H1455">
        <v>231</v>
      </c>
    </row>
    <row r="1456" spans="1:8" x14ac:dyDescent="0.25">
      <c r="A1456" t="s">
        <v>1744</v>
      </c>
      <c r="B1456" s="1">
        <v>45159</v>
      </c>
      <c r="C1456" t="s">
        <v>132</v>
      </c>
      <c r="D1456" t="s">
        <v>17</v>
      </c>
      <c r="E1456" t="s">
        <v>11</v>
      </c>
      <c r="F1456">
        <v>2</v>
      </c>
      <c r="G1456">
        <v>115</v>
      </c>
      <c r="H1456">
        <v>230</v>
      </c>
    </row>
    <row r="1457" spans="1:8" x14ac:dyDescent="0.25">
      <c r="A1457" t="s">
        <v>155</v>
      </c>
      <c r="B1457" s="1">
        <v>45521</v>
      </c>
      <c r="C1457" t="s">
        <v>156</v>
      </c>
      <c r="D1457" t="s">
        <v>27</v>
      </c>
      <c r="E1457" t="s">
        <v>35</v>
      </c>
      <c r="F1457">
        <v>2</v>
      </c>
      <c r="G1457">
        <v>113</v>
      </c>
      <c r="H1457">
        <v>226</v>
      </c>
    </row>
    <row r="1458" spans="1:8" x14ac:dyDescent="0.25">
      <c r="A1458" t="s">
        <v>1333</v>
      </c>
      <c r="B1458" s="1">
        <v>45117</v>
      </c>
      <c r="C1458" t="s">
        <v>413</v>
      </c>
      <c r="D1458" t="s">
        <v>17</v>
      </c>
      <c r="E1458" t="s">
        <v>25</v>
      </c>
      <c r="F1458">
        <v>1</v>
      </c>
      <c r="G1458">
        <v>226</v>
      </c>
      <c r="H1458">
        <v>226</v>
      </c>
    </row>
    <row r="1459" spans="1:8" x14ac:dyDescent="0.25">
      <c r="A1459" t="s">
        <v>1200</v>
      </c>
      <c r="B1459" s="1">
        <v>45440</v>
      </c>
      <c r="C1459" t="s">
        <v>191</v>
      </c>
      <c r="D1459" t="s">
        <v>20</v>
      </c>
      <c r="E1459" t="s">
        <v>25</v>
      </c>
      <c r="F1459">
        <v>1</v>
      </c>
      <c r="G1459">
        <v>222</v>
      </c>
      <c r="H1459">
        <v>222</v>
      </c>
    </row>
    <row r="1460" spans="1:8" x14ac:dyDescent="0.25">
      <c r="A1460" t="s">
        <v>1437</v>
      </c>
      <c r="B1460" s="1">
        <v>45467</v>
      </c>
      <c r="C1460" t="s">
        <v>663</v>
      </c>
      <c r="D1460" t="s">
        <v>17</v>
      </c>
      <c r="E1460" t="s">
        <v>14</v>
      </c>
      <c r="F1460">
        <v>2</v>
      </c>
      <c r="G1460">
        <v>109</v>
      </c>
      <c r="H1460">
        <v>218</v>
      </c>
    </row>
    <row r="1461" spans="1:8" x14ac:dyDescent="0.25">
      <c r="A1461" t="s">
        <v>1795</v>
      </c>
      <c r="B1461" s="1">
        <v>45408</v>
      </c>
      <c r="C1461" t="s">
        <v>236</v>
      </c>
      <c r="D1461" t="s">
        <v>27</v>
      </c>
      <c r="E1461" t="s">
        <v>14</v>
      </c>
      <c r="F1461">
        <v>2</v>
      </c>
      <c r="G1461">
        <v>108</v>
      </c>
      <c r="H1461">
        <v>216</v>
      </c>
    </row>
    <row r="1462" spans="1:8" x14ac:dyDescent="0.25">
      <c r="A1462" t="s">
        <v>1782</v>
      </c>
      <c r="B1462" s="1">
        <v>45279</v>
      </c>
      <c r="C1462" t="s">
        <v>332</v>
      </c>
      <c r="D1462" t="s">
        <v>27</v>
      </c>
      <c r="E1462" t="s">
        <v>32</v>
      </c>
      <c r="F1462">
        <v>1</v>
      </c>
      <c r="G1462">
        <v>214</v>
      </c>
      <c r="H1462">
        <v>214</v>
      </c>
    </row>
    <row r="1463" spans="1:8" x14ac:dyDescent="0.25">
      <c r="A1463" t="s">
        <v>1694</v>
      </c>
      <c r="B1463" s="1">
        <v>45298</v>
      </c>
      <c r="C1463" t="s">
        <v>471</v>
      </c>
      <c r="D1463" t="s">
        <v>10</v>
      </c>
      <c r="E1463" t="s">
        <v>14</v>
      </c>
      <c r="F1463">
        <v>1</v>
      </c>
      <c r="G1463">
        <v>213</v>
      </c>
      <c r="H1463">
        <v>213</v>
      </c>
    </row>
    <row r="1464" spans="1:8" x14ac:dyDescent="0.25">
      <c r="A1464" t="s">
        <v>956</v>
      </c>
      <c r="B1464" s="1">
        <v>45117</v>
      </c>
      <c r="C1464" t="s">
        <v>123</v>
      </c>
      <c r="D1464" t="s">
        <v>17</v>
      </c>
      <c r="E1464" t="s">
        <v>35</v>
      </c>
      <c r="F1464">
        <v>1</v>
      </c>
      <c r="G1464">
        <v>212</v>
      </c>
      <c r="H1464">
        <v>212</v>
      </c>
    </row>
    <row r="1465" spans="1:8" x14ac:dyDescent="0.25">
      <c r="A1465" t="s">
        <v>1790</v>
      </c>
      <c r="B1465" s="1">
        <v>45094</v>
      </c>
      <c r="C1465" t="s">
        <v>929</v>
      </c>
      <c r="D1465" t="s">
        <v>10</v>
      </c>
      <c r="E1465" t="s">
        <v>25</v>
      </c>
      <c r="F1465">
        <v>1</v>
      </c>
      <c r="G1465">
        <v>211</v>
      </c>
      <c r="H1465">
        <v>211</v>
      </c>
    </row>
    <row r="1466" spans="1:8" x14ac:dyDescent="0.25">
      <c r="A1466" t="s">
        <v>1321</v>
      </c>
      <c r="B1466" s="1">
        <v>45306</v>
      </c>
      <c r="C1466" t="s">
        <v>161</v>
      </c>
      <c r="D1466" t="s">
        <v>17</v>
      </c>
      <c r="E1466" t="s">
        <v>25</v>
      </c>
      <c r="F1466">
        <v>2</v>
      </c>
      <c r="G1466">
        <v>105</v>
      </c>
      <c r="H1466">
        <v>210</v>
      </c>
    </row>
    <row r="1467" spans="1:8" x14ac:dyDescent="0.25">
      <c r="A1467" t="s">
        <v>1802</v>
      </c>
      <c r="B1467" s="1">
        <v>45519</v>
      </c>
      <c r="C1467" t="s">
        <v>154</v>
      </c>
      <c r="D1467" t="s">
        <v>20</v>
      </c>
      <c r="E1467" t="s">
        <v>32</v>
      </c>
      <c r="F1467">
        <v>1</v>
      </c>
      <c r="G1467">
        <v>210</v>
      </c>
      <c r="H1467">
        <v>210</v>
      </c>
    </row>
    <row r="1468" spans="1:8" x14ac:dyDescent="0.25">
      <c r="A1468" t="s">
        <v>768</v>
      </c>
      <c r="B1468" s="1">
        <v>45055</v>
      </c>
      <c r="C1468" t="s">
        <v>769</v>
      </c>
      <c r="D1468" t="s">
        <v>10</v>
      </c>
      <c r="E1468" t="s">
        <v>14</v>
      </c>
      <c r="F1468">
        <v>1</v>
      </c>
      <c r="G1468">
        <v>209</v>
      </c>
      <c r="H1468">
        <v>209</v>
      </c>
    </row>
    <row r="1469" spans="1:8" x14ac:dyDescent="0.25">
      <c r="A1469" t="s">
        <v>374</v>
      </c>
      <c r="B1469" s="1">
        <v>45203</v>
      </c>
      <c r="C1469" t="s">
        <v>375</v>
      </c>
      <c r="D1469" t="s">
        <v>27</v>
      </c>
      <c r="E1469" t="s">
        <v>35</v>
      </c>
      <c r="F1469">
        <v>1</v>
      </c>
      <c r="G1469">
        <v>206</v>
      </c>
      <c r="H1469">
        <v>206</v>
      </c>
    </row>
    <row r="1470" spans="1:8" x14ac:dyDescent="0.25">
      <c r="A1470" t="s">
        <v>885</v>
      </c>
      <c r="B1470" s="1">
        <v>44985</v>
      </c>
      <c r="C1470" t="s">
        <v>185</v>
      </c>
      <c r="D1470" t="s">
        <v>10</v>
      </c>
      <c r="E1470" t="s">
        <v>25</v>
      </c>
      <c r="F1470">
        <v>2</v>
      </c>
      <c r="G1470">
        <v>103</v>
      </c>
      <c r="H1470">
        <v>206</v>
      </c>
    </row>
    <row r="1471" spans="1:8" x14ac:dyDescent="0.25">
      <c r="A1471" t="s">
        <v>976</v>
      </c>
      <c r="B1471" s="1">
        <v>45561</v>
      </c>
      <c r="C1471" t="s">
        <v>302</v>
      </c>
      <c r="D1471" t="s">
        <v>17</v>
      </c>
      <c r="E1471" t="s">
        <v>11</v>
      </c>
      <c r="F1471">
        <v>1</v>
      </c>
      <c r="G1471">
        <v>203</v>
      </c>
      <c r="H1471">
        <v>203</v>
      </c>
    </row>
    <row r="1472" spans="1:8" x14ac:dyDescent="0.25">
      <c r="A1472" t="s">
        <v>565</v>
      </c>
      <c r="B1472" s="1">
        <v>45585</v>
      </c>
      <c r="C1472" t="s">
        <v>566</v>
      </c>
      <c r="D1472" t="s">
        <v>27</v>
      </c>
      <c r="E1472" t="s">
        <v>35</v>
      </c>
      <c r="F1472">
        <v>1</v>
      </c>
      <c r="G1472">
        <v>202</v>
      </c>
      <c r="H1472">
        <v>202</v>
      </c>
    </row>
    <row r="1473" spans="1:8" x14ac:dyDescent="0.25">
      <c r="A1473" t="s">
        <v>1654</v>
      </c>
      <c r="B1473" s="1">
        <v>45574</v>
      </c>
      <c r="C1473" t="s">
        <v>364</v>
      </c>
      <c r="D1473" t="s">
        <v>10</v>
      </c>
      <c r="E1473" t="s">
        <v>25</v>
      </c>
      <c r="F1473">
        <v>1</v>
      </c>
      <c r="G1473">
        <v>201</v>
      </c>
      <c r="H1473">
        <v>201</v>
      </c>
    </row>
    <row r="1474" spans="1:8" x14ac:dyDescent="0.25">
      <c r="A1474" t="s">
        <v>841</v>
      </c>
      <c r="B1474" s="1">
        <v>44993</v>
      </c>
      <c r="C1474" t="s">
        <v>156</v>
      </c>
      <c r="D1474" t="s">
        <v>27</v>
      </c>
      <c r="E1474" t="s">
        <v>25</v>
      </c>
      <c r="F1474">
        <v>2</v>
      </c>
      <c r="G1474">
        <v>100</v>
      </c>
      <c r="H1474">
        <v>200</v>
      </c>
    </row>
    <row r="1475" spans="1:8" x14ac:dyDescent="0.25">
      <c r="A1475" t="s">
        <v>1715</v>
      </c>
      <c r="B1475" s="1">
        <v>45465</v>
      </c>
      <c r="C1475" t="s">
        <v>282</v>
      </c>
      <c r="D1475" t="s">
        <v>27</v>
      </c>
      <c r="E1475" t="s">
        <v>11</v>
      </c>
      <c r="F1475">
        <v>1</v>
      </c>
      <c r="G1475">
        <v>197</v>
      </c>
      <c r="H1475">
        <v>197</v>
      </c>
    </row>
    <row r="1476" spans="1:8" x14ac:dyDescent="0.25">
      <c r="A1476" t="s">
        <v>1392</v>
      </c>
      <c r="B1476" s="1">
        <v>45410</v>
      </c>
      <c r="C1476" t="s">
        <v>330</v>
      </c>
      <c r="D1476" t="s">
        <v>17</v>
      </c>
      <c r="E1476" t="s">
        <v>35</v>
      </c>
      <c r="F1476">
        <v>1</v>
      </c>
      <c r="G1476">
        <v>195</v>
      </c>
      <c r="H1476">
        <v>195</v>
      </c>
    </row>
    <row r="1477" spans="1:8" x14ac:dyDescent="0.25">
      <c r="A1477" t="s">
        <v>797</v>
      </c>
      <c r="B1477" s="1">
        <v>45229</v>
      </c>
      <c r="C1477" t="s">
        <v>605</v>
      </c>
      <c r="D1477" t="s">
        <v>27</v>
      </c>
      <c r="E1477" t="s">
        <v>14</v>
      </c>
      <c r="F1477">
        <v>1</v>
      </c>
      <c r="G1477">
        <v>194</v>
      </c>
      <c r="H1477">
        <v>194</v>
      </c>
    </row>
    <row r="1478" spans="1:8" x14ac:dyDescent="0.25">
      <c r="A1478" t="s">
        <v>1083</v>
      </c>
      <c r="B1478" s="1">
        <v>45588</v>
      </c>
      <c r="C1478" t="s">
        <v>580</v>
      </c>
      <c r="D1478" t="s">
        <v>20</v>
      </c>
      <c r="E1478" t="s">
        <v>25</v>
      </c>
      <c r="F1478">
        <v>1</v>
      </c>
      <c r="G1478">
        <v>194</v>
      </c>
      <c r="H1478">
        <v>194</v>
      </c>
    </row>
    <row r="1479" spans="1:8" x14ac:dyDescent="0.25">
      <c r="A1479" t="s">
        <v>606</v>
      </c>
      <c r="B1479" s="1">
        <v>45030</v>
      </c>
      <c r="C1479" t="s">
        <v>607</v>
      </c>
      <c r="D1479" t="s">
        <v>20</v>
      </c>
      <c r="E1479" t="s">
        <v>32</v>
      </c>
      <c r="F1479">
        <v>1</v>
      </c>
      <c r="G1479">
        <v>186</v>
      </c>
      <c r="H1479">
        <v>186</v>
      </c>
    </row>
    <row r="1480" spans="1:8" x14ac:dyDescent="0.25">
      <c r="A1480" t="s">
        <v>762</v>
      </c>
      <c r="B1480" s="1">
        <v>45573</v>
      </c>
      <c r="C1480" t="s">
        <v>605</v>
      </c>
      <c r="D1480" t="s">
        <v>17</v>
      </c>
      <c r="E1480" t="s">
        <v>11</v>
      </c>
      <c r="F1480">
        <v>1</v>
      </c>
      <c r="G1480">
        <v>179</v>
      </c>
      <c r="H1480">
        <v>179</v>
      </c>
    </row>
    <row r="1481" spans="1:8" x14ac:dyDescent="0.25">
      <c r="A1481" t="s">
        <v>890</v>
      </c>
      <c r="B1481" s="1">
        <v>45324</v>
      </c>
      <c r="C1481" t="s">
        <v>420</v>
      </c>
      <c r="D1481" t="s">
        <v>20</v>
      </c>
      <c r="E1481" t="s">
        <v>11</v>
      </c>
      <c r="F1481">
        <v>1</v>
      </c>
      <c r="G1481">
        <v>174</v>
      </c>
      <c r="H1481">
        <v>174</v>
      </c>
    </row>
    <row r="1482" spans="1:8" x14ac:dyDescent="0.25">
      <c r="A1482" t="s">
        <v>1483</v>
      </c>
      <c r="B1482" s="1">
        <v>45450</v>
      </c>
      <c r="C1482" t="s">
        <v>22</v>
      </c>
      <c r="D1482" t="s">
        <v>10</v>
      </c>
      <c r="E1482" t="s">
        <v>14</v>
      </c>
      <c r="F1482">
        <v>1</v>
      </c>
      <c r="G1482">
        <v>171</v>
      </c>
      <c r="H1482">
        <v>171</v>
      </c>
    </row>
    <row r="1483" spans="1:8" x14ac:dyDescent="0.25">
      <c r="A1483" t="s">
        <v>1647</v>
      </c>
      <c r="B1483" s="1">
        <v>45213</v>
      </c>
      <c r="C1483" t="s">
        <v>161</v>
      </c>
      <c r="D1483" t="s">
        <v>17</v>
      </c>
      <c r="E1483" t="s">
        <v>11</v>
      </c>
      <c r="F1483">
        <v>1</v>
      </c>
      <c r="G1483">
        <v>171</v>
      </c>
      <c r="H1483">
        <v>171</v>
      </c>
    </row>
    <row r="1484" spans="1:8" x14ac:dyDescent="0.25">
      <c r="A1484" t="s">
        <v>1630</v>
      </c>
      <c r="B1484" s="1">
        <v>45227</v>
      </c>
      <c r="C1484" t="s">
        <v>140</v>
      </c>
      <c r="D1484" t="s">
        <v>27</v>
      </c>
      <c r="E1484" t="s">
        <v>32</v>
      </c>
      <c r="F1484">
        <v>1</v>
      </c>
      <c r="G1484">
        <v>170</v>
      </c>
      <c r="H1484">
        <v>170</v>
      </c>
    </row>
    <row r="1485" spans="1:8" x14ac:dyDescent="0.25">
      <c r="A1485" t="s">
        <v>370</v>
      </c>
      <c r="B1485" s="1">
        <v>45460</v>
      </c>
      <c r="C1485" t="s">
        <v>371</v>
      </c>
      <c r="D1485" t="s">
        <v>10</v>
      </c>
      <c r="E1485" t="s">
        <v>14</v>
      </c>
      <c r="F1485">
        <v>1</v>
      </c>
      <c r="G1485">
        <v>162</v>
      </c>
      <c r="H1485">
        <v>162</v>
      </c>
    </row>
    <row r="1486" spans="1:8" x14ac:dyDescent="0.25">
      <c r="A1486" t="s">
        <v>423</v>
      </c>
      <c r="B1486" s="1">
        <v>45058</v>
      </c>
      <c r="C1486" t="s">
        <v>183</v>
      </c>
      <c r="D1486" t="s">
        <v>27</v>
      </c>
      <c r="E1486" t="s">
        <v>25</v>
      </c>
      <c r="F1486">
        <v>1</v>
      </c>
      <c r="G1486">
        <v>157</v>
      </c>
      <c r="H1486">
        <v>157</v>
      </c>
    </row>
    <row r="1487" spans="1:8" x14ac:dyDescent="0.25">
      <c r="A1487" t="s">
        <v>1351</v>
      </c>
      <c r="B1487" s="1">
        <v>45117</v>
      </c>
      <c r="C1487" t="s">
        <v>248</v>
      </c>
      <c r="D1487" t="s">
        <v>27</v>
      </c>
      <c r="E1487" t="s">
        <v>25</v>
      </c>
      <c r="F1487">
        <v>1</v>
      </c>
      <c r="G1487">
        <v>154</v>
      </c>
      <c r="H1487">
        <v>154</v>
      </c>
    </row>
    <row r="1488" spans="1:8" x14ac:dyDescent="0.25">
      <c r="A1488" t="s">
        <v>1577</v>
      </c>
      <c r="B1488" s="1">
        <v>45250</v>
      </c>
      <c r="C1488" t="s">
        <v>228</v>
      </c>
      <c r="D1488" t="s">
        <v>20</v>
      </c>
      <c r="E1488" t="s">
        <v>25</v>
      </c>
      <c r="F1488">
        <v>1</v>
      </c>
      <c r="G1488">
        <v>154</v>
      </c>
      <c r="H1488">
        <v>154</v>
      </c>
    </row>
    <row r="1489" spans="1:8" x14ac:dyDescent="0.25">
      <c r="A1489" t="s">
        <v>1039</v>
      </c>
      <c r="B1489" s="1">
        <v>44955</v>
      </c>
      <c r="C1489" t="s">
        <v>1000</v>
      </c>
      <c r="D1489" t="s">
        <v>27</v>
      </c>
      <c r="E1489" t="s">
        <v>11</v>
      </c>
      <c r="F1489">
        <v>1</v>
      </c>
      <c r="G1489">
        <v>152</v>
      </c>
      <c r="H1489">
        <v>152</v>
      </c>
    </row>
    <row r="1490" spans="1:8" x14ac:dyDescent="0.25">
      <c r="A1490" t="s">
        <v>68</v>
      </c>
      <c r="B1490" s="1">
        <v>45315</v>
      </c>
      <c r="C1490" t="s">
        <v>69</v>
      </c>
      <c r="D1490" t="s">
        <v>10</v>
      </c>
      <c r="E1490" t="s">
        <v>35</v>
      </c>
      <c r="F1490">
        <v>1</v>
      </c>
      <c r="G1490">
        <v>148</v>
      </c>
      <c r="H1490">
        <v>148</v>
      </c>
    </row>
    <row r="1491" spans="1:8" x14ac:dyDescent="0.25">
      <c r="A1491" t="s">
        <v>1506</v>
      </c>
      <c r="B1491" s="1">
        <v>45430</v>
      </c>
      <c r="C1491" t="s">
        <v>719</v>
      </c>
      <c r="D1491" t="s">
        <v>10</v>
      </c>
      <c r="E1491" t="s">
        <v>35</v>
      </c>
      <c r="F1491">
        <v>1</v>
      </c>
      <c r="G1491">
        <v>142</v>
      </c>
      <c r="H1491">
        <v>142</v>
      </c>
    </row>
    <row r="1492" spans="1:8" x14ac:dyDescent="0.25">
      <c r="A1492" t="s">
        <v>1203</v>
      </c>
      <c r="B1492" s="1">
        <v>45116</v>
      </c>
      <c r="C1492" t="s">
        <v>254</v>
      </c>
      <c r="D1492" t="s">
        <v>27</v>
      </c>
      <c r="E1492" t="s">
        <v>32</v>
      </c>
      <c r="F1492">
        <v>1</v>
      </c>
      <c r="G1492">
        <v>137</v>
      </c>
      <c r="H1492">
        <v>137</v>
      </c>
    </row>
    <row r="1493" spans="1:8" x14ac:dyDescent="0.25">
      <c r="A1493" t="s">
        <v>828</v>
      </c>
      <c r="B1493" s="1">
        <v>45399</v>
      </c>
      <c r="C1493" t="s">
        <v>132</v>
      </c>
      <c r="D1493" t="s">
        <v>20</v>
      </c>
      <c r="E1493" t="s">
        <v>35</v>
      </c>
      <c r="F1493">
        <v>1</v>
      </c>
      <c r="G1493">
        <v>132</v>
      </c>
      <c r="H1493">
        <v>132</v>
      </c>
    </row>
    <row r="1494" spans="1:8" x14ac:dyDescent="0.25">
      <c r="A1494" t="s">
        <v>952</v>
      </c>
      <c r="B1494" s="1">
        <v>45183</v>
      </c>
      <c r="C1494" t="s">
        <v>459</v>
      </c>
      <c r="D1494" t="s">
        <v>10</v>
      </c>
      <c r="E1494" t="s">
        <v>11</v>
      </c>
      <c r="F1494">
        <v>1</v>
      </c>
      <c r="G1494">
        <v>131</v>
      </c>
      <c r="H1494">
        <v>131</v>
      </c>
    </row>
    <row r="1495" spans="1:8" x14ac:dyDescent="0.25">
      <c r="A1495" t="s">
        <v>135</v>
      </c>
      <c r="B1495" s="1">
        <v>45168</v>
      </c>
      <c r="C1495" t="s">
        <v>136</v>
      </c>
      <c r="D1495" t="s">
        <v>10</v>
      </c>
      <c r="E1495" t="s">
        <v>14</v>
      </c>
      <c r="F1495">
        <v>1</v>
      </c>
      <c r="G1495">
        <v>124</v>
      </c>
      <c r="H1495">
        <v>124</v>
      </c>
    </row>
    <row r="1496" spans="1:8" x14ac:dyDescent="0.25">
      <c r="A1496" t="s">
        <v>651</v>
      </c>
      <c r="B1496" s="1">
        <v>45354</v>
      </c>
      <c r="C1496" t="s">
        <v>652</v>
      </c>
      <c r="D1496" t="s">
        <v>27</v>
      </c>
      <c r="E1496" t="s">
        <v>32</v>
      </c>
      <c r="F1496">
        <v>1</v>
      </c>
      <c r="G1496">
        <v>124</v>
      </c>
      <c r="H1496">
        <v>124</v>
      </c>
    </row>
    <row r="1497" spans="1:8" x14ac:dyDescent="0.25">
      <c r="A1497" t="s">
        <v>1162</v>
      </c>
      <c r="B1497" s="1">
        <v>45620</v>
      </c>
      <c r="C1497" t="s">
        <v>221</v>
      </c>
      <c r="D1497" t="s">
        <v>27</v>
      </c>
      <c r="E1497" t="s">
        <v>35</v>
      </c>
      <c r="F1497">
        <v>1</v>
      </c>
      <c r="G1497">
        <v>123</v>
      </c>
      <c r="H1497">
        <v>123</v>
      </c>
    </row>
    <row r="1498" spans="1:8" x14ac:dyDescent="0.25">
      <c r="A1498" t="s">
        <v>42</v>
      </c>
      <c r="B1498" s="1">
        <v>45538</v>
      </c>
      <c r="C1498" t="s">
        <v>43</v>
      </c>
      <c r="D1498" t="s">
        <v>20</v>
      </c>
      <c r="E1498" t="s">
        <v>35</v>
      </c>
      <c r="F1498">
        <v>1</v>
      </c>
      <c r="G1498">
        <v>114</v>
      </c>
      <c r="H1498">
        <v>114</v>
      </c>
    </row>
    <row r="1499" spans="1:8" x14ac:dyDescent="0.25">
      <c r="A1499" t="s">
        <v>260</v>
      </c>
      <c r="B1499" s="1">
        <v>45487</v>
      </c>
      <c r="C1499" t="s">
        <v>261</v>
      </c>
      <c r="D1499" t="s">
        <v>17</v>
      </c>
      <c r="E1499" t="s">
        <v>32</v>
      </c>
      <c r="F1499">
        <v>1</v>
      </c>
      <c r="G1499">
        <v>110</v>
      </c>
      <c r="H1499">
        <v>110</v>
      </c>
    </row>
    <row r="1500" spans="1:8" x14ac:dyDescent="0.25">
      <c r="A1500" t="s">
        <v>392</v>
      </c>
      <c r="B1500" s="1">
        <v>44935</v>
      </c>
      <c r="C1500" t="s">
        <v>393</v>
      </c>
      <c r="D1500" t="s">
        <v>10</v>
      </c>
      <c r="E1500" t="s">
        <v>11</v>
      </c>
      <c r="F1500">
        <v>1</v>
      </c>
      <c r="G1500">
        <v>107</v>
      </c>
      <c r="H1500">
        <v>107</v>
      </c>
    </row>
    <row r="1501" spans="1:8" x14ac:dyDescent="0.25">
      <c r="A1501" t="s">
        <v>733</v>
      </c>
      <c r="B1501" s="1">
        <v>45331</v>
      </c>
      <c r="C1501" t="s">
        <v>148</v>
      </c>
      <c r="D1501" t="s">
        <v>20</v>
      </c>
      <c r="E1501" t="s">
        <v>25</v>
      </c>
      <c r="F1501">
        <v>1</v>
      </c>
      <c r="G1501">
        <v>100</v>
      </c>
      <c r="H1501">
        <v>100</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301"/>
  <sheetViews>
    <sheetView workbookViewId="0">
      <selection activeCell="I13" sqref="I13"/>
    </sheetView>
  </sheetViews>
  <sheetFormatPr defaultRowHeight="15" x14ac:dyDescent="0.25"/>
  <sheetData>
    <row r="1" spans="1:3" x14ac:dyDescent="0.25">
      <c r="A1" t="s">
        <v>2</v>
      </c>
      <c r="B1" t="s">
        <v>1816</v>
      </c>
      <c r="C1" t="s">
        <v>1817</v>
      </c>
    </row>
    <row r="2" spans="1:3" x14ac:dyDescent="0.25">
      <c r="A2" t="s">
        <v>171</v>
      </c>
      <c r="B2" t="s">
        <v>1818</v>
      </c>
      <c r="C2" t="s">
        <v>1819</v>
      </c>
    </row>
    <row r="3" spans="1:3" x14ac:dyDescent="0.25">
      <c r="A3" t="s">
        <v>442</v>
      </c>
      <c r="B3" t="s">
        <v>1820</v>
      </c>
      <c r="C3" t="s">
        <v>1821</v>
      </c>
    </row>
    <row r="4" spans="1:3" x14ac:dyDescent="0.25">
      <c r="A4" t="s">
        <v>80</v>
      </c>
      <c r="B4" t="s">
        <v>1822</v>
      </c>
      <c r="C4" t="s">
        <v>1823</v>
      </c>
    </row>
    <row r="5" spans="1:3" x14ac:dyDescent="0.25">
      <c r="A5" t="s">
        <v>140</v>
      </c>
      <c r="B5" t="s">
        <v>1824</v>
      </c>
      <c r="C5" t="s">
        <v>1819</v>
      </c>
    </row>
    <row r="6" spans="1:3" x14ac:dyDescent="0.25">
      <c r="A6" t="s">
        <v>685</v>
      </c>
      <c r="B6" t="s">
        <v>1825</v>
      </c>
      <c r="C6" t="s">
        <v>1823</v>
      </c>
    </row>
    <row r="7" spans="1:3" x14ac:dyDescent="0.25">
      <c r="A7" t="s">
        <v>96</v>
      </c>
      <c r="B7" t="s">
        <v>1826</v>
      </c>
      <c r="C7" t="s">
        <v>1821</v>
      </c>
    </row>
    <row r="8" spans="1:3" x14ac:dyDescent="0.25">
      <c r="A8" t="s">
        <v>206</v>
      </c>
      <c r="B8" t="s">
        <v>1827</v>
      </c>
      <c r="C8" t="s">
        <v>1821</v>
      </c>
    </row>
    <row r="9" spans="1:3" x14ac:dyDescent="0.25">
      <c r="A9" t="s">
        <v>146</v>
      </c>
      <c r="B9" t="s">
        <v>1828</v>
      </c>
      <c r="C9" t="s">
        <v>1819</v>
      </c>
    </row>
    <row r="10" spans="1:3" x14ac:dyDescent="0.25">
      <c r="A10" t="s">
        <v>432</v>
      </c>
      <c r="B10" t="s">
        <v>1829</v>
      </c>
      <c r="C10" t="s">
        <v>1821</v>
      </c>
    </row>
    <row r="11" spans="1:3" x14ac:dyDescent="0.25">
      <c r="A11" t="s">
        <v>138</v>
      </c>
      <c r="B11" t="s">
        <v>1830</v>
      </c>
      <c r="C11" t="s">
        <v>1819</v>
      </c>
    </row>
    <row r="12" spans="1:3" x14ac:dyDescent="0.25">
      <c r="A12" t="s">
        <v>698</v>
      </c>
      <c r="B12" t="s">
        <v>1831</v>
      </c>
      <c r="C12" t="s">
        <v>1821</v>
      </c>
    </row>
    <row r="13" spans="1:3" x14ac:dyDescent="0.25">
      <c r="A13" t="s">
        <v>300</v>
      </c>
      <c r="B13" t="s">
        <v>1832</v>
      </c>
      <c r="C13" t="s">
        <v>1823</v>
      </c>
    </row>
    <row r="14" spans="1:3" x14ac:dyDescent="0.25">
      <c r="A14" t="s">
        <v>354</v>
      </c>
      <c r="B14" t="s">
        <v>1833</v>
      </c>
      <c r="C14" t="s">
        <v>1819</v>
      </c>
    </row>
    <row r="15" spans="1:3" x14ac:dyDescent="0.25">
      <c r="A15" t="s">
        <v>818</v>
      </c>
      <c r="B15" t="s">
        <v>1834</v>
      </c>
      <c r="C15" t="s">
        <v>1819</v>
      </c>
    </row>
    <row r="16" spans="1:3" x14ac:dyDescent="0.25">
      <c r="A16" t="s">
        <v>583</v>
      </c>
      <c r="B16" t="s">
        <v>1835</v>
      </c>
      <c r="C16" t="s">
        <v>1823</v>
      </c>
    </row>
    <row r="17" spans="1:3" x14ac:dyDescent="0.25">
      <c r="A17" t="s">
        <v>284</v>
      </c>
      <c r="B17" t="s">
        <v>1836</v>
      </c>
      <c r="C17" t="s">
        <v>1821</v>
      </c>
    </row>
    <row r="18" spans="1:3" x14ac:dyDescent="0.25">
      <c r="A18" t="s">
        <v>562</v>
      </c>
      <c r="B18" t="s">
        <v>1837</v>
      </c>
      <c r="C18" t="s">
        <v>1821</v>
      </c>
    </row>
    <row r="19" spans="1:3" x14ac:dyDescent="0.25">
      <c r="A19" t="s">
        <v>24</v>
      </c>
      <c r="B19" t="s">
        <v>1838</v>
      </c>
      <c r="C19" t="s">
        <v>1823</v>
      </c>
    </row>
    <row r="20" spans="1:3" x14ac:dyDescent="0.25">
      <c r="A20" t="s">
        <v>870</v>
      </c>
      <c r="B20" t="s">
        <v>1839</v>
      </c>
      <c r="C20" t="s">
        <v>1819</v>
      </c>
    </row>
    <row r="21" spans="1:3" x14ac:dyDescent="0.25">
      <c r="A21" t="s">
        <v>31</v>
      </c>
      <c r="B21" t="s">
        <v>1840</v>
      </c>
      <c r="C21" t="s">
        <v>1819</v>
      </c>
    </row>
    <row r="22" spans="1:3" x14ac:dyDescent="0.25">
      <c r="A22" t="s">
        <v>719</v>
      </c>
      <c r="B22" t="s">
        <v>1841</v>
      </c>
      <c r="C22" t="s">
        <v>1823</v>
      </c>
    </row>
    <row r="23" spans="1:3" x14ac:dyDescent="0.25">
      <c r="A23" t="s">
        <v>292</v>
      </c>
      <c r="B23" t="s">
        <v>1842</v>
      </c>
      <c r="C23" t="s">
        <v>1823</v>
      </c>
    </row>
    <row r="24" spans="1:3" x14ac:dyDescent="0.25">
      <c r="A24" t="s">
        <v>219</v>
      </c>
      <c r="B24" t="s">
        <v>1843</v>
      </c>
      <c r="C24" t="s">
        <v>1819</v>
      </c>
    </row>
    <row r="25" spans="1:3" x14ac:dyDescent="0.25">
      <c r="A25" t="s">
        <v>82</v>
      </c>
      <c r="B25" t="s">
        <v>1844</v>
      </c>
      <c r="C25" t="s">
        <v>1821</v>
      </c>
    </row>
    <row r="26" spans="1:3" x14ac:dyDescent="0.25">
      <c r="A26" t="s">
        <v>603</v>
      </c>
      <c r="B26" t="s">
        <v>1845</v>
      </c>
      <c r="C26" t="s">
        <v>1819</v>
      </c>
    </row>
    <row r="27" spans="1:3" x14ac:dyDescent="0.25">
      <c r="A27" t="s">
        <v>468</v>
      </c>
      <c r="B27" t="s">
        <v>1846</v>
      </c>
      <c r="C27" t="s">
        <v>1821</v>
      </c>
    </row>
    <row r="28" spans="1:3" x14ac:dyDescent="0.25">
      <c r="A28" t="s">
        <v>306</v>
      </c>
      <c r="B28" t="s">
        <v>1847</v>
      </c>
      <c r="C28" t="s">
        <v>1821</v>
      </c>
    </row>
    <row r="29" spans="1:3" x14ac:dyDescent="0.25">
      <c r="A29" t="s">
        <v>144</v>
      </c>
      <c r="B29" t="s">
        <v>1848</v>
      </c>
      <c r="C29" t="s">
        <v>1823</v>
      </c>
    </row>
    <row r="30" spans="1:3" x14ac:dyDescent="0.25">
      <c r="A30" t="s">
        <v>13</v>
      </c>
      <c r="B30" t="s">
        <v>1849</v>
      </c>
      <c r="C30" t="s">
        <v>1819</v>
      </c>
    </row>
    <row r="31" spans="1:3" x14ac:dyDescent="0.25">
      <c r="A31" t="s">
        <v>179</v>
      </c>
      <c r="B31" t="s">
        <v>1850</v>
      </c>
      <c r="C31" t="s">
        <v>1821</v>
      </c>
    </row>
    <row r="32" spans="1:3" x14ac:dyDescent="0.25">
      <c r="A32" t="s">
        <v>1101</v>
      </c>
      <c r="B32" t="s">
        <v>1851</v>
      </c>
      <c r="C32" t="s">
        <v>1821</v>
      </c>
    </row>
    <row r="33" spans="1:3" x14ac:dyDescent="0.25">
      <c r="A33" t="s">
        <v>979</v>
      </c>
      <c r="B33" t="s">
        <v>1852</v>
      </c>
      <c r="C33" t="s">
        <v>1819</v>
      </c>
    </row>
    <row r="34" spans="1:3" x14ac:dyDescent="0.25">
      <c r="A34" t="s">
        <v>272</v>
      </c>
      <c r="B34" t="s">
        <v>1853</v>
      </c>
      <c r="C34" t="s">
        <v>1821</v>
      </c>
    </row>
    <row r="35" spans="1:3" x14ac:dyDescent="0.25">
      <c r="A35" t="s">
        <v>199</v>
      </c>
      <c r="B35" t="s">
        <v>1854</v>
      </c>
      <c r="C35" t="s">
        <v>1819</v>
      </c>
    </row>
    <row r="36" spans="1:3" x14ac:dyDescent="0.25">
      <c r="A36" t="s">
        <v>278</v>
      </c>
      <c r="B36" t="s">
        <v>1855</v>
      </c>
      <c r="C36" t="s">
        <v>1823</v>
      </c>
    </row>
    <row r="37" spans="1:3" x14ac:dyDescent="0.25">
      <c r="A37" t="s">
        <v>367</v>
      </c>
      <c r="B37" t="s">
        <v>1856</v>
      </c>
      <c r="C37" t="s">
        <v>1823</v>
      </c>
    </row>
    <row r="38" spans="1:3" x14ac:dyDescent="0.25">
      <c r="A38" t="s">
        <v>123</v>
      </c>
      <c r="B38" t="s">
        <v>1857</v>
      </c>
      <c r="C38" t="s">
        <v>1819</v>
      </c>
    </row>
    <row r="39" spans="1:3" x14ac:dyDescent="0.25">
      <c r="A39" t="s">
        <v>185</v>
      </c>
      <c r="B39" t="s">
        <v>1858</v>
      </c>
      <c r="C39" t="s">
        <v>1821</v>
      </c>
    </row>
    <row r="40" spans="1:3" x14ac:dyDescent="0.25">
      <c r="A40" t="s">
        <v>358</v>
      </c>
      <c r="B40" t="s">
        <v>1859</v>
      </c>
      <c r="C40" t="s">
        <v>1823</v>
      </c>
    </row>
    <row r="41" spans="1:3" x14ac:dyDescent="0.25">
      <c r="A41" t="s">
        <v>824</v>
      </c>
      <c r="B41" t="s">
        <v>1860</v>
      </c>
      <c r="C41" t="s">
        <v>1819</v>
      </c>
    </row>
    <row r="42" spans="1:3" x14ac:dyDescent="0.25">
      <c r="A42" t="s">
        <v>109</v>
      </c>
      <c r="B42" t="s">
        <v>1861</v>
      </c>
      <c r="C42" t="s">
        <v>1821</v>
      </c>
    </row>
    <row r="43" spans="1:3" x14ac:dyDescent="0.25">
      <c r="A43" t="s">
        <v>580</v>
      </c>
      <c r="B43" t="s">
        <v>1862</v>
      </c>
      <c r="C43" t="s">
        <v>1819</v>
      </c>
    </row>
    <row r="44" spans="1:3" x14ac:dyDescent="0.25">
      <c r="A44" t="s">
        <v>51</v>
      </c>
      <c r="B44" t="s">
        <v>1863</v>
      </c>
      <c r="C44" t="s">
        <v>1823</v>
      </c>
    </row>
    <row r="45" spans="1:3" x14ac:dyDescent="0.25">
      <c r="A45" t="s">
        <v>29</v>
      </c>
      <c r="B45" t="s">
        <v>1864</v>
      </c>
      <c r="C45" t="s">
        <v>1819</v>
      </c>
    </row>
    <row r="46" spans="1:3" x14ac:dyDescent="0.25">
      <c r="A46" t="s">
        <v>647</v>
      </c>
      <c r="B46" t="s">
        <v>1865</v>
      </c>
      <c r="C46" t="s">
        <v>1821</v>
      </c>
    </row>
    <row r="47" spans="1:3" x14ac:dyDescent="0.25">
      <c r="A47" t="s">
        <v>86</v>
      </c>
      <c r="B47" t="s">
        <v>1866</v>
      </c>
      <c r="C47" t="s">
        <v>1819</v>
      </c>
    </row>
    <row r="48" spans="1:3" x14ac:dyDescent="0.25">
      <c r="A48" t="s">
        <v>683</v>
      </c>
      <c r="B48" t="s">
        <v>1867</v>
      </c>
      <c r="C48" t="s">
        <v>1821</v>
      </c>
    </row>
    <row r="49" spans="1:3" x14ac:dyDescent="0.25">
      <c r="A49" t="s">
        <v>298</v>
      </c>
      <c r="B49" t="s">
        <v>1868</v>
      </c>
      <c r="C49" t="s">
        <v>1823</v>
      </c>
    </row>
    <row r="50" spans="1:3" x14ac:dyDescent="0.25">
      <c r="A50" t="s">
        <v>456</v>
      </c>
      <c r="B50" t="s">
        <v>1869</v>
      </c>
      <c r="C50" t="s">
        <v>1819</v>
      </c>
    </row>
    <row r="51" spans="1:3" x14ac:dyDescent="0.25">
      <c r="A51" t="s">
        <v>864</v>
      </c>
      <c r="B51" t="s">
        <v>1870</v>
      </c>
      <c r="C51" t="s">
        <v>1821</v>
      </c>
    </row>
    <row r="52" spans="1:3" x14ac:dyDescent="0.25">
      <c r="A52" t="s">
        <v>1426</v>
      </c>
      <c r="B52" t="s">
        <v>1871</v>
      </c>
      <c r="C52" t="s">
        <v>1821</v>
      </c>
    </row>
    <row r="53" spans="1:3" x14ac:dyDescent="0.25">
      <c r="A53" t="s">
        <v>1000</v>
      </c>
      <c r="B53" t="s">
        <v>1872</v>
      </c>
      <c r="C53" t="s">
        <v>1819</v>
      </c>
    </row>
    <row r="54" spans="1:3" x14ac:dyDescent="0.25">
      <c r="A54" t="s">
        <v>769</v>
      </c>
      <c r="B54" t="s">
        <v>1873</v>
      </c>
      <c r="C54" t="s">
        <v>1819</v>
      </c>
    </row>
    <row r="55" spans="1:3" x14ac:dyDescent="0.25">
      <c r="A55" t="s">
        <v>309</v>
      </c>
      <c r="B55" t="s">
        <v>1874</v>
      </c>
      <c r="C55" t="s">
        <v>1819</v>
      </c>
    </row>
    <row r="56" spans="1:3" x14ac:dyDescent="0.25">
      <c r="A56" t="s">
        <v>223</v>
      </c>
      <c r="B56" t="s">
        <v>1875</v>
      </c>
      <c r="C56" t="s">
        <v>1821</v>
      </c>
    </row>
    <row r="57" spans="1:3" x14ac:dyDescent="0.25">
      <c r="A57" t="s">
        <v>104</v>
      </c>
      <c r="B57" t="s">
        <v>1876</v>
      </c>
      <c r="C57" t="s">
        <v>1821</v>
      </c>
    </row>
    <row r="58" spans="1:3" x14ac:dyDescent="0.25">
      <c r="A58" t="s">
        <v>373</v>
      </c>
      <c r="B58" t="s">
        <v>1877</v>
      </c>
      <c r="C58" t="s">
        <v>1821</v>
      </c>
    </row>
    <row r="59" spans="1:3" x14ac:dyDescent="0.25">
      <c r="A59" t="s">
        <v>1114</v>
      </c>
      <c r="B59" t="s">
        <v>1878</v>
      </c>
      <c r="C59" t="s">
        <v>1821</v>
      </c>
    </row>
    <row r="60" spans="1:3" x14ac:dyDescent="0.25">
      <c r="A60" t="s">
        <v>88</v>
      </c>
      <c r="B60" t="s">
        <v>1879</v>
      </c>
      <c r="C60" t="s">
        <v>1819</v>
      </c>
    </row>
    <row r="61" spans="1:3" x14ac:dyDescent="0.25">
      <c r="A61" t="s">
        <v>1066</v>
      </c>
      <c r="B61" t="s">
        <v>1880</v>
      </c>
      <c r="C61" t="s">
        <v>1819</v>
      </c>
    </row>
    <row r="62" spans="1:3" x14ac:dyDescent="0.25">
      <c r="A62" t="s">
        <v>938</v>
      </c>
      <c r="B62" t="s">
        <v>1881</v>
      </c>
      <c r="C62" t="s">
        <v>1821</v>
      </c>
    </row>
    <row r="63" spans="1:3" x14ac:dyDescent="0.25">
      <c r="A63" t="s">
        <v>429</v>
      </c>
      <c r="B63" t="s">
        <v>1882</v>
      </c>
      <c r="C63" t="s">
        <v>1821</v>
      </c>
    </row>
    <row r="64" spans="1:3" x14ac:dyDescent="0.25">
      <c r="A64" t="s">
        <v>1075</v>
      </c>
      <c r="B64" t="s">
        <v>1883</v>
      </c>
      <c r="C64" t="s">
        <v>1821</v>
      </c>
    </row>
    <row r="65" spans="1:3" x14ac:dyDescent="0.25">
      <c r="A65" t="s">
        <v>437</v>
      </c>
      <c r="B65" t="s">
        <v>1884</v>
      </c>
      <c r="C65" t="s">
        <v>1823</v>
      </c>
    </row>
    <row r="66" spans="1:3" x14ac:dyDescent="0.25">
      <c r="A66" t="s">
        <v>1023</v>
      </c>
      <c r="B66" t="s">
        <v>1885</v>
      </c>
      <c r="C66" t="s">
        <v>1819</v>
      </c>
    </row>
    <row r="67" spans="1:3" x14ac:dyDescent="0.25">
      <c r="A67" t="s">
        <v>59</v>
      </c>
      <c r="B67" t="s">
        <v>1886</v>
      </c>
      <c r="C67" t="s">
        <v>1823</v>
      </c>
    </row>
    <row r="68" spans="1:3" x14ac:dyDescent="0.25">
      <c r="A68" t="s">
        <v>221</v>
      </c>
      <c r="B68" t="s">
        <v>1887</v>
      </c>
      <c r="C68" t="s">
        <v>1819</v>
      </c>
    </row>
    <row r="69" spans="1:3" x14ac:dyDescent="0.25">
      <c r="A69" t="s">
        <v>232</v>
      </c>
      <c r="B69" t="s">
        <v>1888</v>
      </c>
      <c r="C69" t="s">
        <v>1819</v>
      </c>
    </row>
    <row r="70" spans="1:3" x14ac:dyDescent="0.25">
      <c r="A70" t="s">
        <v>490</v>
      </c>
      <c r="B70" t="s">
        <v>1889</v>
      </c>
      <c r="C70" t="s">
        <v>1819</v>
      </c>
    </row>
    <row r="71" spans="1:3" x14ac:dyDescent="0.25">
      <c r="A71" t="s">
        <v>657</v>
      </c>
      <c r="B71" t="s">
        <v>1890</v>
      </c>
      <c r="C71" t="s">
        <v>1819</v>
      </c>
    </row>
    <row r="72" spans="1:3" x14ac:dyDescent="0.25">
      <c r="A72" t="s">
        <v>315</v>
      </c>
      <c r="B72" t="s">
        <v>1891</v>
      </c>
      <c r="C72" t="s">
        <v>1821</v>
      </c>
    </row>
    <row r="73" spans="1:3" x14ac:dyDescent="0.25">
      <c r="A73" t="s">
        <v>452</v>
      </c>
      <c r="B73" t="s">
        <v>1892</v>
      </c>
      <c r="C73" t="s">
        <v>1819</v>
      </c>
    </row>
    <row r="74" spans="1:3" x14ac:dyDescent="0.25">
      <c r="A74" t="s">
        <v>173</v>
      </c>
      <c r="B74" t="s">
        <v>1893</v>
      </c>
      <c r="C74" t="s">
        <v>1821</v>
      </c>
    </row>
    <row r="75" spans="1:3" x14ac:dyDescent="0.25">
      <c r="A75" t="s">
        <v>1158</v>
      </c>
      <c r="B75" t="s">
        <v>1894</v>
      </c>
      <c r="C75" t="s">
        <v>1823</v>
      </c>
    </row>
    <row r="76" spans="1:3" x14ac:dyDescent="0.25">
      <c r="A76" t="s">
        <v>177</v>
      </c>
      <c r="B76" t="s">
        <v>1895</v>
      </c>
      <c r="C76" t="s">
        <v>1821</v>
      </c>
    </row>
    <row r="77" spans="1:3" x14ac:dyDescent="0.25">
      <c r="A77" t="s">
        <v>473</v>
      </c>
      <c r="B77" t="s">
        <v>1896</v>
      </c>
      <c r="C77" t="s">
        <v>1819</v>
      </c>
    </row>
    <row r="78" spans="1:3" x14ac:dyDescent="0.25">
      <c r="A78" t="s">
        <v>1347</v>
      </c>
      <c r="B78" t="s">
        <v>1897</v>
      </c>
      <c r="C78" t="s">
        <v>1823</v>
      </c>
    </row>
    <row r="79" spans="1:3" x14ac:dyDescent="0.25">
      <c r="A79" t="s">
        <v>594</v>
      </c>
      <c r="B79" t="s">
        <v>1898</v>
      </c>
      <c r="C79" t="s">
        <v>1821</v>
      </c>
    </row>
    <row r="80" spans="1:3" x14ac:dyDescent="0.25">
      <c r="A80" t="s">
        <v>420</v>
      </c>
      <c r="B80" t="s">
        <v>1899</v>
      </c>
      <c r="C80" t="s">
        <v>1821</v>
      </c>
    </row>
    <row r="81" spans="1:3" x14ac:dyDescent="0.25">
      <c r="A81" t="s">
        <v>553</v>
      </c>
      <c r="B81" t="s">
        <v>1900</v>
      </c>
      <c r="C81" t="s">
        <v>1821</v>
      </c>
    </row>
    <row r="82" spans="1:3" x14ac:dyDescent="0.25">
      <c r="A82" t="s">
        <v>396</v>
      </c>
      <c r="B82" t="s">
        <v>1901</v>
      </c>
      <c r="C82" t="s">
        <v>1823</v>
      </c>
    </row>
    <row r="83" spans="1:3" x14ac:dyDescent="0.25">
      <c r="A83" t="s">
        <v>881</v>
      </c>
      <c r="B83" t="s">
        <v>1902</v>
      </c>
      <c r="C83" t="s">
        <v>1821</v>
      </c>
    </row>
    <row r="84" spans="1:3" x14ac:dyDescent="0.25">
      <c r="A84" t="s">
        <v>761</v>
      </c>
      <c r="B84" t="s">
        <v>1903</v>
      </c>
      <c r="C84" t="s">
        <v>1819</v>
      </c>
    </row>
    <row r="85" spans="1:3" x14ac:dyDescent="0.25">
      <c r="A85" t="s">
        <v>439</v>
      </c>
      <c r="B85" t="s">
        <v>1904</v>
      </c>
      <c r="C85" t="s">
        <v>1819</v>
      </c>
    </row>
    <row r="86" spans="1:3" x14ac:dyDescent="0.25">
      <c r="A86" t="s">
        <v>334</v>
      </c>
      <c r="B86" t="s">
        <v>1905</v>
      </c>
      <c r="C86" t="s">
        <v>1823</v>
      </c>
    </row>
    <row r="87" spans="1:3" x14ac:dyDescent="0.25">
      <c r="A87" t="s">
        <v>282</v>
      </c>
      <c r="B87" t="s">
        <v>1906</v>
      </c>
      <c r="C87" t="s">
        <v>1821</v>
      </c>
    </row>
    <row r="88" spans="1:3" x14ac:dyDescent="0.25">
      <c r="A88" t="s">
        <v>356</v>
      </c>
      <c r="B88" t="s">
        <v>1907</v>
      </c>
      <c r="C88" t="s">
        <v>1823</v>
      </c>
    </row>
    <row r="89" spans="1:3" x14ac:dyDescent="0.25">
      <c r="A89" t="s">
        <v>836</v>
      </c>
      <c r="B89" t="s">
        <v>1908</v>
      </c>
      <c r="C89" t="s">
        <v>1823</v>
      </c>
    </row>
    <row r="90" spans="1:3" x14ac:dyDescent="0.25">
      <c r="A90" t="s">
        <v>211</v>
      </c>
      <c r="B90" t="s">
        <v>1909</v>
      </c>
      <c r="C90" t="s">
        <v>1819</v>
      </c>
    </row>
    <row r="91" spans="1:3" x14ac:dyDescent="0.25">
      <c r="A91" t="s">
        <v>189</v>
      </c>
      <c r="B91" t="s">
        <v>1910</v>
      </c>
      <c r="C91" t="s">
        <v>1823</v>
      </c>
    </row>
    <row r="92" spans="1:3" x14ac:dyDescent="0.25">
      <c r="A92" t="s">
        <v>839</v>
      </c>
      <c r="B92" t="s">
        <v>1911</v>
      </c>
      <c r="C92" t="s">
        <v>1823</v>
      </c>
    </row>
    <row r="93" spans="1:3" x14ac:dyDescent="0.25">
      <c r="A93" t="s">
        <v>286</v>
      </c>
      <c r="B93" t="s">
        <v>1912</v>
      </c>
      <c r="C93" t="s">
        <v>1823</v>
      </c>
    </row>
    <row r="94" spans="1:3" x14ac:dyDescent="0.25">
      <c r="A94" t="s">
        <v>154</v>
      </c>
      <c r="B94" t="s">
        <v>1913</v>
      </c>
      <c r="C94" t="s">
        <v>1821</v>
      </c>
    </row>
    <row r="95" spans="1:3" x14ac:dyDescent="0.25">
      <c r="A95" t="s">
        <v>398</v>
      </c>
      <c r="B95" t="s">
        <v>1914</v>
      </c>
      <c r="C95" t="s">
        <v>1823</v>
      </c>
    </row>
    <row r="96" spans="1:3" x14ac:dyDescent="0.25">
      <c r="A96" t="s">
        <v>90</v>
      </c>
      <c r="B96" t="s">
        <v>1915</v>
      </c>
      <c r="C96" t="s">
        <v>1823</v>
      </c>
    </row>
    <row r="97" spans="1:3" x14ac:dyDescent="0.25">
      <c r="A97" t="s">
        <v>294</v>
      </c>
      <c r="B97" t="s">
        <v>1916</v>
      </c>
      <c r="C97" t="s">
        <v>1819</v>
      </c>
    </row>
    <row r="98" spans="1:3" x14ac:dyDescent="0.25">
      <c r="A98" t="s">
        <v>1357</v>
      </c>
      <c r="B98" t="s">
        <v>1917</v>
      </c>
      <c r="C98" t="s">
        <v>1823</v>
      </c>
    </row>
    <row r="99" spans="1:3" x14ac:dyDescent="0.25">
      <c r="A99" t="s">
        <v>425</v>
      </c>
      <c r="B99" t="s">
        <v>1918</v>
      </c>
      <c r="C99" t="s">
        <v>1823</v>
      </c>
    </row>
    <row r="100" spans="1:3" x14ac:dyDescent="0.25">
      <c r="A100" t="s">
        <v>152</v>
      </c>
      <c r="B100" t="s">
        <v>1919</v>
      </c>
      <c r="C100" t="s">
        <v>1819</v>
      </c>
    </row>
    <row r="101" spans="1:3" x14ac:dyDescent="0.25">
      <c r="A101" t="s">
        <v>216</v>
      </c>
      <c r="B101" t="s">
        <v>1920</v>
      </c>
      <c r="C101" t="s">
        <v>1821</v>
      </c>
    </row>
    <row r="102" spans="1:3" x14ac:dyDescent="0.25">
      <c r="A102" t="s">
        <v>737</v>
      </c>
      <c r="B102" t="s">
        <v>1921</v>
      </c>
      <c r="C102" t="s">
        <v>1819</v>
      </c>
    </row>
    <row r="103" spans="1:3" x14ac:dyDescent="0.25">
      <c r="A103" t="s">
        <v>84</v>
      </c>
      <c r="B103" t="s">
        <v>1922</v>
      </c>
      <c r="C103" t="s">
        <v>1823</v>
      </c>
    </row>
    <row r="104" spans="1:3" x14ac:dyDescent="0.25">
      <c r="A104" t="s">
        <v>463</v>
      </c>
      <c r="B104" t="s">
        <v>1923</v>
      </c>
      <c r="C104" t="s">
        <v>1819</v>
      </c>
    </row>
    <row r="105" spans="1:3" x14ac:dyDescent="0.25">
      <c r="A105" t="s">
        <v>566</v>
      </c>
      <c r="B105" t="s">
        <v>1924</v>
      </c>
      <c r="C105" t="s">
        <v>1821</v>
      </c>
    </row>
    <row r="106" spans="1:3" x14ac:dyDescent="0.25">
      <c r="A106" t="s">
        <v>115</v>
      </c>
      <c r="B106" t="s">
        <v>1925</v>
      </c>
      <c r="C106" t="s">
        <v>1821</v>
      </c>
    </row>
    <row r="107" spans="1:3" x14ac:dyDescent="0.25">
      <c r="A107" t="s">
        <v>449</v>
      </c>
      <c r="B107" t="s">
        <v>1926</v>
      </c>
      <c r="C107" t="s">
        <v>1819</v>
      </c>
    </row>
    <row r="108" spans="1:3" x14ac:dyDescent="0.25">
      <c r="A108" t="s">
        <v>22</v>
      </c>
      <c r="B108" t="s">
        <v>1927</v>
      </c>
      <c r="C108" t="s">
        <v>1823</v>
      </c>
    </row>
    <row r="109" spans="1:3" x14ac:dyDescent="0.25">
      <c r="A109" t="s">
        <v>927</v>
      </c>
      <c r="B109" t="s">
        <v>1928</v>
      </c>
      <c r="C109" t="s">
        <v>1823</v>
      </c>
    </row>
    <row r="110" spans="1:3" x14ac:dyDescent="0.25">
      <c r="A110" t="s">
        <v>98</v>
      </c>
      <c r="B110" t="s">
        <v>1929</v>
      </c>
      <c r="C110" t="s">
        <v>1819</v>
      </c>
    </row>
    <row r="111" spans="1:3" x14ac:dyDescent="0.25">
      <c r="A111" t="s">
        <v>73</v>
      </c>
      <c r="B111" t="s">
        <v>1930</v>
      </c>
      <c r="C111" t="s">
        <v>1821</v>
      </c>
    </row>
    <row r="112" spans="1:3" x14ac:dyDescent="0.25">
      <c r="A112" t="s">
        <v>574</v>
      </c>
      <c r="B112" t="s">
        <v>1931</v>
      </c>
      <c r="C112" t="s">
        <v>1823</v>
      </c>
    </row>
    <row r="113" spans="1:3" x14ac:dyDescent="0.25">
      <c r="A113" t="s">
        <v>377</v>
      </c>
      <c r="B113" t="s">
        <v>1932</v>
      </c>
      <c r="C113" t="s">
        <v>1819</v>
      </c>
    </row>
    <row r="114" spans="1:3" x14ac:dyDescent="0.25">
      <c r="A114" t="s">
        <v>67</v>
      </c>
      <c r="B114" t="s">
        <v>1933</v>
      </c>
      <c r="C114" t="s">
        <v>1819</v>
      </c>
    </row>
    <row r="115" spans="1:3" x14ac:dyDescent="0.25">
      <c r="A115" t="s">
        <v>531</v>
      </c>
      <c r="B115" t="s">
        <v>1934</v>
      </c>
      <c r="C115" t="s">
        <v>1823</v>
      </c>
    </row>
    <row r="116" spans="1:3" x14ac:dyDescent="0.25">
      <c r="A116" t="s">
        <v>106</v>
      </c>
      <c r="B116" t="s">
        <v>1935</v>
      </c>
      <c r="C116" t="s">
        <v>1823</v>
      </c>
    </row>
    <row r="117" spans="1:3" x14ac:dyDescent="0.25">
      <c r="A117" t="s">
        <v>209</v>
      </c>
      <c r="B117" t="s">
        <v>1936</v>
      </c>
      <c r="C117" t="s">
        <v>1819</v>
      </c>
    </row>
    <row r="118" spans="1:3" x14ac:dyDescent="0.25">
      <c r="A118" t="s">
        <v>417</v>
      </c>
      <c r="B118" t="s">
        <v>1937</v>
      </c>
      <c r="C118" t="s">
        <v>1823</v>
      </c>
    </row>
    <row r="119" spans="1:3" x14ac:dyDescent="0.25">
      <c r="A119" t="s">
        <v>343</v>
      </c>
      <c r="B119" t="s">
        <v>1938</v>
      </c>
      <c r="C119" t="s">
        <v>1819</v>
      </c>
    </row>
    <row r="120" spans="1:3" x14ac:dyDescent="0.25">
      <c r="A120" t="s">
        <v>1237</v>
      </c>
      <c r="B120" t="s">
        <v>1939</v>
      </c>
      <c r="C120" t="s">
        <v>1821</v>
      </c>
    </row>
    <row r="121" spans="1:3" x14ac:dyDescent="0.25">
      <c r="A121" t="s">
        <v>338</v>
      </c>
      <c r="B121" t="s">
        <v>1940</v>
      </c>
      <c r="C121" t="s">
        <v>1823</v>
      </c>
    </row>
    <row r="122" spans="1:3" x14ac:dyDescent="0.25">
      <c r="A122" t="s">
        <v>605</v>
      </c>
      <c r="B122" t="s">
        <v>1941</v>
      </c>
      <c r="C122" t="s">
        <v>1821</v>
      </c>
    </row>
    <row r="123" spans="1:3" x14ac:dyDescent="0.25">
      <c r="A123" t="s">
        <v>117</v>
      </c>
      <c r="B123" t="s">
        <v>1942</v>
      </c>
      <c r="C123" t="s">
        <v>1821</v>
      </c>
    </row>
    <row r="124" spans="1:3" x14ac:dyDescent="0.25">
      <c r="A124" t="s">
        <v>406</v>
      </c>
      <c r="B124" t="s">
        <v>1943</v>
      </c>
      <c r="C124" t="s">
        <v>1819</v>
      </c>
    </row>
    <row r="125" spans="1:3" x14ac:dyDescent="0.25">
      <c r="A125" t="s">
        <v>570</v>
      </c>
      <c r="B125" t="s">
        <v>1944</v>
      </c>
      <c r="C125" t="s">
        <v>1823</v>
      </c>
    </row>
    <row r="126" spans="1:3" x14ac:dyDescent="0.25">
      <c r="A126" t="s">
        <v>266</v>
      </c>
      <c r="B126" t="s">
        <v>1945</v>
      </c>
      <c r="C126" t="s">
        <v>1819</v>
      </c>
    </row>
    <row r="127" spans="1:3" x14ac:dyDescent="0.25">
      <c r="A127" t="s">
        <v>240</v>
      </c>
      <c r="B127" t="s">
        <v>1946</v>
      </c>
      <c r="C127" t="s">
        <v>1821</v>
      </c>
    </row>
    <row r="128" spans="1:3" x14ac:dyDescent="0.25">
      <c r="A128" t="s">
        <v>459</v>
      </c>
      <c r="B128" t="s">
        <v>1947</v>
      </c>
      <c r="C128" t="s">
        <v>1821</v>
      </c>
    </row>
    <row r="129" spans="1:3" x14ac:dyDescent="0.25">
      <c r="A129" t="s">
        <v>128</v>
      </c>
      <c r="B129" t="s">
        <v>1948</v>
      </c>
      <c r="C129" t="s">
        <v>1819</v>
      </c>
    </row>
    <row r="130" spans="1:3" x14ac:dyDescent="0.25">
      <c r="A130" t="s">
        <v>764</v>
      </c>
      <c r="B130" t="s">
        <v>1949</v>
      </c>
      <c r="C130" t="s">
        <v>1821</v>
      </c>
    </row>
    <row r="131" spans="1:3" x14ac:dyDescent="0.25">
      <c r="A131" t="s">
        <v>1672</v>
      </c>
      <c r="B131" t="s">
        <v>1950</v>
      </c>
      <c r="C131" t="s">
        <v>1821</v>
      </c>
    </row>
    <row r="132" spans="1:3" x14ac:dyDescent="0.25">
      <c r="A132" t="s">
        <v>848</v>
      </c>
      <c r="B132" t="s">
        <v>1951</v>
      </c>
      <c r="C132" t="s">
        <v>1823</v>
      </c>
    </row>
    <row r="133" spans="1:3" x14ac:dyDescent="0.25">
      <c r="A133" t="s">
        <v>642</v>
      </c>
      <c r="B133" t="s">
        <v>1952</v>
      </c>
      <c r="C133" t="s">
        <v>1819</v>
      </c>
    </row>
    <row r="134" spans="1:3" x14ac:dyDescent="0.25">
      <c r="A134" t="s">
        <v>984</v>
      </c>
      <c r="B134" t="s">
        <v>1953</v>
      </c>
      <c r="C134" t="s">
        <v>1821</v>
      </c>
    </row>
    <row r="135" spans="1:3" x14ac:dyDescent="0.25">
      <c r="A135" t="s">
        <v>352</v>
      </c>
      <c r="B135" t="s">
        <v>1954</v>
      </c>
      <c r="C135" t="s">
        <v>1821</v>
      </c>
    </row>
    <row r="136" spans="1:3" x14ac:dyDescent="0.25">
      <c r="A136" t="s">
        <v>1090</v>
      </c>
      <c r="B136" t="s">
        <v>1955</v>
      </c>
      <c r="C136" t="s">
        <v>1823</v>
      </c>
    </row>
    <row r="137" spans="1:3" x14ac:dyDescent="0.25">
      <c r="A137" t="s">
        <v>111</v>
      </c>
      <c r="B137" t="s">
        <v>1956</v>
      </c>
      <c r="C137" t="s">
        <v>1819</v>
      </c>
    </row>
    <row r="138" spans="1:3" x14ac:dyDescent="0.25">
      <c r="A138" t="s">
        <v>785</v>
      </c>
      <c r="B138" t="s">
        <v>1957</v>
      </c>
      <c r="C138" t="s">
        <v>1823</v>
      </c>
    </row>
    <row r="139" spans="1:3" x14ac:dyDescent="0.25">
      <c r="A139" t="s">
        <v>795</v>
      </c>
      <c r="B139" t="s">
        <v>1958</v>
      </c>
      <c r="C139" t="s">
        <v>1823</v>
      </c>
    </row>
    <row r="140" spans="1:3" x14ac:dyDescent="0.25">
      <c r="A140" t="s">
        <v>302</v>
      </c>
      <c r="B140" t="s">
        <v>1959</v>
      </c>
      <c r="C140" t="s">
        <v>1821</v>
      </c>
    </row>
    <row r="141" spans="1:3" x14ac:dyDescent="0.25">
      <c r="A141" t="s">
        <v>258</v>
      </c>
      <c r="B141" t="s">
        <v>1960</v>
      </c>
      <c r="C141" t="s">
        <v>1823</v>
      </c>
    </row>
    <row r="142" spans="1:3" x14ac:dyDescent="0.25">
      <c r="A142" t="s">
        <v>1450</v>
      </c>
      <c r="B142" t="s">
        <v>1961</v>
      </c>
      <c r="C142" t="s">
        <v>1819</v>
      </c>
    </row>
    <row r="143" spans="1:3" x14ac:dyDescent="0.25">
      <c r="A143" t="s">
        <v>332</v>
      </c>
      <c r="B143" t="s">
        <v>1962</v>
      </c>
      <c r="C143" t="s">
        <v>1819</v>
      </c>
    </row>
    <row r="144" spans="1:3" x14ac:dyDescent="0.25">
      <c r="A144" t="s">
        <v>695</v>
      </c>
      <c r="B144" t="s">
        <v>1963</v>
      </c>
      <c r="C144" t="s">
        <v>1821</v>
      </c>
    </row>
    <row r="145" spans="1:3" x14ac:dyDescent="0.25">
      <c r="A145" t="s">
        <v>226</v>
      </c>
      <c r="B145" t="s">
        <v>1964</v>
      </c>
      <c r="C145" t="s">
        <v>1819</v>
      </c>
    </row>
    <row r="146" spans="1:3" x14ac:dyDescent="0.25">
      <c r="A146" t="s">
        <v>276</v>
      </c>
      <c r="B146" t="s">
        <v>1965</v>
      </c>
      <c r="C146" t="s">
        <v>1823</v>
      </c>
    </row>
    <row r="147" spans="1:3" x14ac:dyDescent="0.25">
      <c r="A147" t="s">
        <v>527</v>
      </c>
      <c r="B147" t="s">
        <v>1966</v>
      </c>
      <c r="C147" t="s">
        <v>1819</v>
      </c>
    </row>
    <row r="148" spans="1:3" x14ac:dyDescent="0.25">
      <c r="A148" t="s">
        <v>404</v>
      </c>
      <c r="B148" t="s">
        <v>1967</v>
      </c>
      <c r="C148" t="s">
        <v>1823</v>
      </c>
    </row>
    <row r="149" spans="1:3" x14ac:dyDescent="0.25">
      <c r="A149" t="s">
        <v>644</v>
      </c>
      <c r="B149" t="s">
        <v>1968</v>
      </c>
      <c r="C149" t="s">
        <v>1823</v>
      </c>
    </row>
    <row r="150" spans="1:3" x14ac:dyDescent="0.25">
      <c r="A150" t="s">
        <v>1172</v>
      </c>
      <c r="B150" t="s">
        <v>1969</v>
      </c>
      <c r="C150" t="s">
        <v>1821</v>
      </c>
    </row>
    <row r="151" spans="1:3" x14ac:dyDescent="0.25">
      <c r="A151" t="s">
        <v>484</v>
      </c>
      <c r="B151" t="s">
        <v>1970</v>
      </c>
      <c r="C151" t="s">
        <v>1821</v>
      </c>
    </row>
    <row r="152" spans="1:3" x14ac:dyDescent="0.25">
      <c r="A152" t="s">
        <v>256</v>
      </c>
      <c r="B152" t="s">
        <v>1971</v>
      </c>
      <c r="C152" t="s">
        <v>1821</v>
      </c>
    </row>
    <row r="153" spans="1:3" x14ac:dyDescent="0.25">
      <c r="A153" t="s">
        <v>652</v>
      </c>
      <c r="B153" t="s">
        <v>1972</v>
      </c>
      <c r="C153" t="s">
        <v>1821</v>
      </c>
    </row>
    <row r="154" spans="1:3" x14ac:dyDescent="0.25">
      <c r="A154" t="s">
        <v>263</v>
      </c>
      <c r="B154" t="s">
        <v>1973</v>
      </c>
      <c r="C154" t="s">
        <v>1819</v>
      </c>
    </row>
    <row r="155" spans="1:3" x14ac:dyDescent="0.25">
      <c r="A155" t="s">
        <v>706</v>
      </c>
      <c r="B155" t="s">
        <v>1974</v>
      </c>
      <c r="C155" t="s">
        <v>1821</v>
      </c>
    </row>
    <row r="156" spans="1:3" x14ac:dyDescent="0.25">
      <c r="A156" t="s">
        <v>246</v>
      </c>
      <c r="B156" t="s">
        <v>1975</v>
      </c>
      <c r="C156" t="s">
        <v>1821</v>
      </c>
    </row>
    <row r="157" spans="1:3" x14ac:dyDescent="0.25">
      <c r="A157" t="s">
        <v>499</v>
      </c>
      <c r="B157" t="s">
        <v>1976</v>
      </c>
      <c r="C157" t="s">
        <v>1821</v>
      </c>
    </row>
    <row r="158" spans="1:3" x14ac:dyDescent="0.25">
      <c r="A158" t="s">
        <v>214</v>
      </c>
      <c r="B158" t="s">
        <v>1977</v>
      </c>
      <c r="C158" t="s">
        <v>1819</v>
      </c>
    </row>
    <row r="159" spans="1:3" x14ac:dyDescent="0.25">
      <c r="A159" t="s">
        <v>289</v>
      </c>
      <c r="B159" t="s">
        <v>1978</v>
      </c>
      <c r="C159" t="s">
        <v>1823</v>
      </c>
    </row>
    <row r="160" spans="1:3" x14ac:dyDescent="0.25">
      <c r="A160" t="s">
        <v>675</v>
      </c>
      <c r="B160" t="s">
        <v>1979</v>
      </c>
      <c r="C160" t="s">
        <v>1821</v>
      </c>
    </row>
    <row r="161" spans="1:3" x14ac:dyDescent="0.25">
      <c r="A161" t="s">
        <v>53</v>
      </c>
      <c r="B161" t="s">
        <v>1980</v>
      </c>
      <c r="C161" t="s">
        <v>1823</v>
      </c>
    </row>
    <row r="162" spans="1:3" x14ac:dyDescent="0.25">
      <c r="A162" t="s">
        <v>270</v>
      </c>
      <c r="B162" t="s">
        <v>1981</v>
      </c>
      <c r="C162" t="s">
        <v>1819</v>
      </c>
    </row>
    <row r="163" spans="1:3" x14ac:dyDescent="0.25">
      <c r="A163" t="s">
        <v>380</v>
      </c>
      <c r="B163" t="s">
        <v>1982</v>
      </c>
      <c r="C163" t="s">
        <v>1823</v>
      </c>
    </row>
    <row r="164" spans="1:3" x14ac:dyDescent="0.25">
      <c r="A164" t="s">
        <v>142</v>
      </c>
      <c r="B164" t="s">
        <v>1983</v>
      </c>
      <c r="C164" t="s">
        <v>1821</v>
      </c>
    </row>
    <row r="165" spans="1:3" x14ac:dyDescent="0.25">
      <c r="A165" t="s">
        <v>181</v>
      </c>
      <c r="B165" t="s">
        <v>1984</v>
      </c>
      <c r="C165" t="s">
        <v>1819</v>
      </c>
    </row>
    <row r="166" spans="1:3" x14ac:dyDescent="0.25">
      <c r="A166" t="s">
        <v>1395</v>
      </c>
      <c r="B166" t="s">
        <v>1985</v>
      </c>
      <c r="C166" t="s">
        <v>1823</v>
      </c>
    </row>
    <row r="167" spans="1:3" x14ac:dyDescent="0.25">
      <c r="A167" t="s">
        <v>558</v>
      </c>
      <c r="B167" t="s">
        <v>1986</v>
      </c>
      <c r="C167" t="s">
        <v>1823</v>
      </c>
    </row>
    <row r="168" spans="1:3" x14ac:dyDescent="0.25">
      <c r="A168" t="s">
        <v>261</v>
      </c>
      <c r="B168" t="s">
        <v>1987</v>
      </c>
      <c r="C168" t="s">
        <v>1819</v>
      </c>
    </row>
    <row r="169" spans="1:3" x14ac:dyDescent="0.25">
      <c r="A169" t="s">
        <v>248</v>
      </c>
      <c r="B169" t="s">
        <v>1988</v>
      </c>
      <c r="C169" t="s">
        <v>1821</v>
      </c>
    </row>
    <row r="170" spans="1:3" x14ac:dyDescent="0.25">
      <c r="A170" t="s">
        <v>614</v>
      </c>
      <c r="B170" t="s">
        <v>1989</v>
      </c>
      <c r="C170" t="s">
        <v>1819</v>
      </c>
    </row>
    <row r="171" spans="1:3" x14ac:dyDescent="0.25">
      <c r="A171" t="s">
        <v>230</v>
      </c>
      <c r="B171" t="s">
        <v>1990</v>
      </c>
      <c r="C171" t="s">
        <v>1823</v>
      </c>
    </row>
    <row r="172" spans="1:3" x14ac:dyDescent="0.25">
      <c r="A172" t="s">
        <v>471</v>
      </c>
      <c r="B172" t="s">
        <v>1991</v>
      </c>
      <c r="C172" t="s">
        <v>1821</v>
      </c>
    </row>
    <row r="173" spans="1:3" x14ac:dyDescent="0.25">
      <c r="A173" t="s">
        <v>234</v>
      </c>
      <c r="B173" t="s">
        <v>1992</v>
      </c>
      <c r="C173" t="s">
        <v>1823</v>
      </c>
    </row>
    <row r="174" spans="1:3" x14ac:dyDescent="0.25">
      <c r="A174" t="s">
        <v>45</v>
      </c>
      <c r="B174" t="s">
        <v>1993</v>
      </c>
      <c r="C174" t="s">
        <v>1821</v>
      </c>
    </row>
    <row r="175" spans="1:3" x14ac:dyDescent="0.25">
      <c r="A175" t="s">
        <v>78</v>
      </c>
      <c r="B175" t="s">
        <v>1994</v>
      </c>
      <c r="C175" t="s">
        <v>1821</v>
      </c>
    </row>
    <row r="176" spans="1:3" x14ac:dyDescent="0.25">
      <c r="A176" t="s">
        <v>690</v>
      </c>
      <c r="B176" t="s">
        <v>1995</v>
      </c>
      <c r="C176" t="s">
        <v>1819</v>
      </c>
    </row>
    <row r="177" spans="1:3" x14ac:dyDescent="0.25">
      <c r="A177" t="s">
        <v>238</v>
      </c>
      <c r="B177" t="s">
        <v>1996</v>
      </c>
      <c r="C177" t="s">
        <v>1823</v>
      </c>
    </row>
    <row r="178" spans="1:3" x14ac:dyDescent="0.25">
      <c r="A178" t="s">
        <v>544</v>
      </c>
      <c r="B178" t="s">
        <v>1997</v>
      </c>
      <c r="C178" t="s">
        <v>1823</v>
      </c>
    </row>
    <row r="179" spans="1:3" x14ac:dyDescent="0.25">
      <c r="A179" t="s">
        <v>945</v>
      </c>
      <c r="B179" t="s">
        <v>1998</v>
      </c>
      <c r="C179" t="s">
        <v>1823</v>
      </c>
    </row>
    <row r="180" spans="1:3" x14ac:dyDescent="0.25">
      <c r="A180" t="s">
        <v>19</v>
      </c>
      <c r="B180" t="s">
        <v>1999</v>
      </c>
      <c r="C180" t="s">
        <v>1819</v>
      </c>
    </row>
    <row r="181" spans="1:3" x14ac:dyDescent="0.25">
      <c r="A181" t="s">
        <v>663</v>
      </c>
      <c r="B181" t="s">
        <v>2000</v>
      </c>
      <c r="C181" t="s">
        <v>1819</v>
      </c>
    </row>
    <row r="182" spans="1:3" x14ac:dyDescent="0.25">
      <c r="A182" t="s">
        <v>480</v>
      </c>
      <c r="B182" t="s">
        <v>2001</v>
      </c>
      <c r="C182" t="s">
        <v>1823</v>
      </c>
    </row>
    <row r="183" spans="1:3" x14ac:dyDescent="0.25">
      <c r="A183" t="s">
        <v>1688</v>
      </c>
      <c r="B183" t="s">
        <v>2002</v>
      </c>
      <c r="C183" t="s">
        <v>1819</v>
      </c>
    </row>
    <row r="184" spans="1:3" x14ac:dyDescent="0.25">
      <c r="A184" t="s">
        <v>364</v>
      </c>
      <c r="B184" t="s">
        <v>2003</v>
      </c>
      <c r="C184" t="s">
        <v>1819</v>
      </c>
    </row>
    <row r="185" spans="1:3" x14ac:dyDescent="0.25">
      <c r="A185" t="s">
        <v>389</v>
      </c>
      <c r="B185" t="s">
        <v>2004</v>
      </c>
      <c r="C185" t="s">
        <v>1819</v>
      </c>
    </row>
    <row r="186" spans="1:3" x14ac:dyDescent="0.25">
      <c r="A186" t="s">
        <v>39</v>
      </c>
      <c r="B186" t="s">
        <v>2005</v>
      </c>
      <c r="C186" t="s">
        <v>1819</v>
      </c>
    </row>
    <row r="187" spans="1:3" x14ac:dyDescent="0.25">
      <c r="A187" t="s">
        <v>47</v>
      </c>
      <c r="B187" t="s">
        <v>2006</v>
      </c>
      <c r="C187" t="s">
        <v>1819</v>
      </c>
    </row>
    <row r="188" spans="1:3" x14ac:dyDescent="0.25">
      <c r="A188" t="s">
        <v>324</v>
      </c>
      <c r="B188" t="s">
        <v>2007</v>
      </c>
      <c r="C188" t="s">
        <v>1821</v>
      </c>
    </row>
    <row r="189" spans="1:3" x14ac:dyDescent="0.25">
      <c r="A189" t="s">
        <v>600</v>
      </c>
      <c r="B189" t="s">
        <v>2008</v>
      </c>
      <c r="C189" t="s">
        <v>1823</v>
      </c>
    </row>
    <row r="190" spans="1:3" x14ac:dyDescent="0.25">
      <c r="A190" t="s">
        <v>134</v>
      </c>
      <c r="B190" t="s">
        <v>2009</v>
      </c>
      <c r="C190" t="s">
        <v>1823</v>
      </c>
    </row>
    <row r="191" spans="1:3" x14ac:dyDescent="0.25">
      <c r="A191" t="s">
        <v>148</v>
      </c>
      <c r="B191" t="s">
        <v>2010</v>
      </c>
      <c r="C191" t="s">
        <v>1819</v>
      </c>
    </row>
    <row r="192" spans="1:3" x14ac:dyDescent="0.25">
      <c r="A192" t="s">
        <v>254</v>
      </c>
      <c r="B192" t="s">
        <v>2011</v>
      </c>
      <c r="C192" t="s">
        <v>1823</v>
      </c>
    </row>
    <row r="193" spans="1:3" x14ac:dyDescent="0.25">
      <c r="A193" t="s">
        <v>175</v>
      </c>
      <c r="B193" t="s">
        <v>2012</v>
      </c>
      <c r="C193" t="s">
        <v>1823</v>
      </c>
    </row>
    <row r="194" spans="1:3" x14ac:dyDescent="0.25">
      <c r="A194" t="s">
        <v>820</v>
      </c>
      <c r="B194" t="s">
        <v>2013</v>
      </c>
      <c r="C194" t="s">
        <v>1821</v>
      </c>
    </row>
    <row r="195" spans="1:3" x14ac:dyDescent="0.25">
      <c r="A195" t="s">
        <v>320</v>
      </c>
      <c r="B195" t="s">
        <v>2014</v>
      </c>
      <c r="C195" t="s">
        <v>1823</v>
      </c>
    </row>
    <row r="196" spans="1:3" x14ac:dyDescent="0.25">
      <c r="A196" t="s">
        <v>163</v>
      </c>
      <c r="B196" t="s">
        <v>2015</v>
      </c>
      <c r="C196" t="s">
        <v>1819</v>
      </c>
    </row>
    <row r="197" spans="1:3" x14ac:dyDescent="0.25">
      <c r="A197" t="s">
        <v>43</v>
      </c>
      <c r="B197" t="s">
        <v>2016</v>
      </c>
      <c r="C197" t="s">
        <v>1821</v>
      </c>
    </row>
    <row r="198" spans="1:3" x14ac:dyDescent="0.25">
      <c r="A198" t="s">
        <v>384</v>
      </c>
      <c r="B198" t="s">
        <v>2017</v>
      </c>
      <c r="C198" t="s">
        <v>1823</v>
      </c>
    </row>
    <row r="199" spans="1:3" x14ac:dyDescent="0.25">
      <c r="A199" t="s">
        <v>183</v>
      </c>
      <c r="B199" t="s">
        <v>2018</v>
      </c>
      <c r="C199" t="s">
        <v>1819</v>
      </c>
    </row>
    <row r="200" spans="1:3" x14ac:dyDescent="0.25">
      <c r="A200" t="s">
        <v>547</v>
      </c>
      <c r="B200" t="s">
        <v>2019</v>
      </c>
      <c r="C200" t="s">
        <v>1819</v>
      </c>
    </row>
    <row r="201" spans="1:3" x14ac:dyDescent="0.25">
      <c r="A201" t="s">
        <v>350</v>
      </c>
      <c r="B201" t="s">
        <v>2020</v>
      </c>
      <c r="C201" t="s">
        <v>1819</v>
      </c>
    </row>
    <row r="202" spans="1:3" x14ac:dyDescent="0.25">
      <c r="A202" t="s">
        <v>382</v>
      </c>
      <c r="B202" t="s">
        <v>2021</v>
      </c>
      <c r="C202" t="s">
        <v>1819</v>
      </c>
    </row>
    <row r="203" spans="1:3" x14ac:dyDescent="0.25">
      <c r="A203" t="s">
        <v>34</v>
      </c>
      <c r="B203" t="s">
        <v>2022</v>
      </c>
      <c r="C203" t="s">
        <v>1819</v>
      </c>
    </row>
    <row r="204" spans="1:3" x14ac:dyDescent="0.25">
      <c r="A204" t="s">
        <v>158</v>
      </c>
      <c r="B204" t="s">
        <v>2023</v>
      </c>
      <c r="C204" t="s">
        <v>1821</v>
      </c>
    </row>
    <row r="205" spans="1:3" x14ac:dyDescent="0.25">
      <c r="A205" t="s">
        <v>1294</v>
      </c>
      <c r="B205" t="s">
        <v>2024</v>
      </c>
      <c r="C205" t="s">
        <v>1819</v>
      </c>
    </row>
    <row r="206" spans="1:3" x14ac:dyDescent="0.25">
      <c r="A206" t="s">
        <v>766</v>
      </c>
      <c r="B206" t="s">
        <v>2025</v>
      </c>
      <c r="C206" t="s">
        <v>1823</v>
      </c>
    </row>
    <row r="207" spans="1:3" x14ac:dyDescent="0.25">
      <c r="A207" t="s">
        <v>1027</v>
      </c>
      <c r="B207" t="s">
        <v>2026</v>
      </c>
      <c r="C207" t="s">
        <v>1819</v>
      </c>
    </row>
    <row r="208" spans="1:3" x14ac:dyDescent="0.25">
      <c r="A208" t="s">
        <v>413</v>
      </c>
      <c r="B208" t="s">
        <v>2027</v>
      </c>
      <c r="C208" t="s">
        <v>1823</v>
      </c>
    </row>
    <row r="209" spans="1:3" x14ac:dyDescent="0.25">
      <c r="A209" t="s">
        <v>427</v>
      </c>
      <c r="B209" t="s">
        <v>2028</v>
      </c>
      <c r="C209" t="s">
        <v>1821</v>
      </c>
    </row>
    <row r="210" spans="1:3" x14ac:dyDescent="0.25">
      <c r="A210" t="s">
        <v>504</v>
      </c>
      <c r="B210" t="s">
        <v>2029</v>
      </c>
      <c r="C210" t="s">
        <v>1823</v>
      </c>
    </row>
    <row r="211" spans="1:3" x14ac:dyDescent="0.25">
      <c r="A211" t="s">
        <v>1319</v>
      </c>
      <c r="B211" t="s">
        <v>2030</v>
      </c>
      <c r="C211" t="s">
        <v>1823</v>
      </c>
    </row>
    <row r="212" spans="1:3" x14ac:dyDescent="0.25">
      <c r="A212" t="s">
        <v>194</v>
      </c>
      <c r="B212" t="s">
        <v>2031</v>
      </c>
      <c r="C212" t="s">
        <v>1821</v>
      </c>
    </row>
    <row r="213" spans="1:3" x14ac:dyDescent="0.25">
      <c r="A213" t="s">
        <v>326</v>
      </c>
      <c r="B213" t="s">
        <v>2032</v>
      </c>
      <c r="C213" t="s">
        <v>1821</v>
      </c>
    </row>
    <row r="214" spans="1:3" x14ac:dyDescent="0.25">
      <c r="A214" t="s">
        <v>541</v>
      </c>
      <c r="B214" t="s">
        <v>2033</v>
      </c>
      <c r="C214" t="s">
        <v>1819</v>
      </c>
    </row>
    <row r="215" spans="1:3" x14ac:dyDescent="0.25">
      <c r="A215" t="s">
        <v>454</v>
      </c>
      <c r="B215" t="s">
        <v>2034</v>
      </c>
      <c r="C215" t="s">
        <v>1823</v>
      </c>
    </row>
    <row r="216" spans="1:3" x14ac:dyDescent="0.25">
      <c r="A216" t="s">
        <v>16</v>
      </c>
      <c r="B216" t="s">
        <v>2035</v>
      </c>
      <c r="C216" t="s">
        <v>1821</v>
      </c>
    </row>
    <row r="217" spans="1:3" x14ac:dyDescent="0.25">
      <c r="A217" t="s">
        <v>671</v>
      </c>
      <c r="B217" t="s">
        <v>2036</v>
      </c>
      <c r="C217" t="s">
        <v>1819</v>
      </c>
    </row>
    <row r="218" spans="1:3" x14ac:dyDescent="0.25">
      <c r="A218" t="s">
        <v>2037</v>
      </c>
      <c r="B218" t="s">
        <v>2038</v>
      </c>
      <c r="C218" t="s">
        <v>1823</v>
      </c>
    </row>
    <row r="219" spans="1:3" x14ac:dyDescent="0.25">
      <c r="A219" t="s">
        <v>37</v>
      </c>
      <c r="B219" t="s">
        <v>2039</v>
      </c>
      <c r="C219" t="s">
        <v>1821</v>
      </c>
    </row>
    <row r="220" spans="1:3" x14ac:dyDescent="0.25">
      <c r="A220" t="s">
        <v>375</v>
      </c>
      <c r="B220" t="s">
        <v>2040</v>
      </c>
      <c r="C220" t="s">
        <v>1823</v>
      </c>
    </row>
    <row r="221" spans="1:3" x14ac:dyDescent="0.25">
      <c r="A221" t="s">
        <v>477</v>
      </c>
      <c r="B221" t="s">
        <v>2041</v>
      </c>
      <c r="C221" t="s">
        <v>1823</v>
      </c>
    </row>
    <row r="222" spans="1:3" x14ac:dyDescent="0.25">
      <c r="A222" t="s">
        <v>268</v>
      </c>
      <c r="B222" t="s">
        <v>2042</v>
      </c>
      <c r="C222" t="s">
        <v>1819</v>
      </c>
    </row>
    <row r="223" spans="1:3" x14ac:dyDescent="0.25">
      <c r="A223" t="s">
        <v>125</v>
      </c>
      <c r="B223" t="s">
        <v>2043</v>
      </c>
      <c r="C223" t="s">
        <v>1819</v>
      </c>
    </row>
    <row r="224" spans="1:3" x14ac:dyDescent="0.25">
      <c r="A224" t="s">
        <v>799</v>
      </c>
      <c r="B224" t="s">
        <v>2044</v>
      </c>
      <c r="C224" t="s">
        <v>1823</v>
      </c>
    </row>
    <row r="225" spans="1:3" x14ac:dyDescent="0.25">
      <c r="A225" t="s">
        <v>1144</v>
      </c>
      <c r="B225" t="s">
        <v>2045</v>
      </c>
      <c r="C225" t="s">
        <v>1819</v>
      </c>
    </row>
    <row r="226" spans="1:3" x14ac:dyDescent="0.25">
      <c r="A226" t="s">
        <v>328</v>
      </c>
      <c r="B226" t="s">
        <v>2046</v>
      </c>
      <c r="C226" t="s">
        <v>1819</v>
      </c>
    </row>
    <row r="227" spans="1:3" x14ac:dyDescent="0.25">
      <c r="A227" t="s">
        <v>444</v>
      </c>
      <c r="B227" t="s">
        <v>2047</v>
      </c>
      <c r="C227" t="s">
        <v>1821</v>
      </c>
    </row>
    <row r="228" spans="1:3" x14ac:dyDescent="0.25">
      <c r="A228" t="s">
        <v>529</v>
      </c>
      <c r="B228" t="s">
        <v>2048</v>
      </c>
      <c r="C228" t="s">
        <v>1823</v>
      </c>
    </row>
    <row r="229" spans="1:3" x14ac:dyDescent="0.25">
      <c r="A229" t="s">
        <v>607</v>
      </c>
      <c r="B229" t="s">
        <v>2049</v>
      </c>
      <c r="C229" t="s">
        <v>1821</v>
      </c>
    </row>
    <row r="230" spans="1:3" x14ac:dyDescent="0.25">
      <c r="A230" t="s">
        <v>304</v>
      </c>
      <c r="B230" t="s">
        <v>2050</v>
      </c>
      <c r="C230" t="s">
        <v>1819</v>
      </c>
    </row>
    <row r="231" spans="1:3" x14ac:dyDescent="0.25">
      <c r="A231" t="s">
        <v>494</v>
      </c>
      <c r="B231" t="s">
        <v>2051</v>
      </c>
      <c r="C231" t="s">
        <v>1821</v>
      </c>
    </row>
    <row r="232" spans="1:3" x14ac:dyDescent="0.25">
      <c r="A232" t="s">
        <v>393</v>
      </c>
      <c r="B232" t="s">
        <v>2052</v>
      </c>
      <c r="C232" t="s">
        <v>1821</v>
      </c>
    </row>
    <row r="233" spans="1:3" x14ac:dyDescent="0.25">
      <c r="A233" t="s">
        <v>753</v>
      </c>
      <c r="B233" t="s">
        <v>2053</v>
      </c>
      <c r="C233" t="s">
        <v>1821</v>
      </c>
    </row>
    <row r="234" spans="1:3" x14ac:dyDescent="0.25">
      <c r="A234" t="s">
        <v>41</v>
      </c>
      <c r="B234" t="s">
        <v>2054</v>
      </c>
      <c r="C234" t="s">
        <v>1819</v>
      </c>
    </row>
    <row r="235" spans="1:3" x14ac:dyDescent="0.25">
      <c r="A235" t="s">
        <v>102</v>
      </c>
      <c r="B235" t="s">
        <v>2055</v>
      </c>
      <c r="C235" t="s">
        <v>1823</v>
      </c>
    </row>
    <row r="236" spans="1:3" x14ac:dyDescent="0.25">
      <c r="A236" t="s">
        <v>538</v>
      </c>
      <c r="B236" t="s">
        <v>2056</v>
      </c>
      <c r="C236" t="s">
        <v>1821</v>
      </c>
    </row>
    <row r="237" spans="1:3" x14ac:dyDescent="0.25">
      <c r="A237" t="s">
        <v>156</v>
      </c>
      <c r="B237" t="s">
        <v>2057</v>
      </c>
      <c r="C237" t="s">
        <v>1821</v>
      </c>
    </row>
    <row r="238" spans="1:3" x14ac:dyDescent="0.25">
      <c r="A238" t="s">
        <v>1037</v>
      </c>
      <c r="B238" t="s">
        <v>2058</v>
      </c>
      <c r="C238" t="s">
        <v>1821</v>
      </c>
    </row>
    <row r="239" spans="1:3" x14ac:dyDescent="0.25">
      <c r="A239" t="s">
        <v>360</v>
      </c>
      <c r="B239" t="s">
        <v>2059</v>
      </c>
      <c r="C239" t="s">
        <v>1823</v>
      </c>
    </row>
    <row r="240" spans="1:3" x14ac:dyDescent="0.25">
      <c r="A240" t="s">
        <v>150</v>
      </c>
      <c r="B240" t="s">
        <v>2060</v>
      </c>
      <c r="C240" t="s">
        <v>1819</v>
      </c>
    </row>
    <row r="241" spans="1:3" x14ac:dyDescent="0.25">
      <c r="A241" t="s">
        <v>348</v>
      </c>
      <c r="B241" t="s">
        <v>2061</v>
      </c>
      <c r="C241" t="s">
        <v>1823</v>
      </c>
    </row>
    <row r="242" spans="1:3" x14ac:dyDescent="0.25">
      <c r="A242" t="s">
        <v>446</v>
      </c>
      <c r="B242" t="s">
        <v>2062</v>
      </c>
      <c r="C242" t="s">
        <v>1821</v>
      </c>
    </row>
    <row r="243" spans="1:3" x14ac:dyDescent="0.25">
      <c r="A243" t="s">
        <v>973</v>
      </c>
      <c r="B243" t="s">
        <v>2063</v>
      </c>
      <c r="C243" t="s">
        <v>1821</v>
      </c>
    </row>
    <row r="244" spans="1:3" x14ac:dyDescent="0.25">
      <c r="A244" t="s">
        <v>1150</v>
      </c>
      <c r="B244" t="s">
        <v>2064</v>
      </c>
      <c r="C244" t="s">
        <v>1821</v>
      </c>
    </row>
    <row r="245" spans="1:3" x14ac:dyDescent="0.25">
      <c r="A245" t="s">
        <v>71</v>
      </c>
      <c r="B245" t="s">
        <v>2065</v>
      </c>
      <c r="C245" t="s">
        <v>1819</v>
      </c>
    </row>
    <row r="246" spans="1:3" x14ac:dyDescent="0.25">
      <c r="A246" t="s">
        <v>76</v>
      </c>
      <c r="B246" t="s">
        <v>2066</v>
      </c>
      <c r="C246" t="s">
        <v>1821</v>
      </c>
    </row>
    <row r="247" spans="1:3" x14ac:dyDescent="0.25">
      <c r="A247" t="s">
        <v>228</v>
      </c>
      <c r="B247" t="s">
        <v>2067</v>
      </c>
      <c r="C247" t="s">
        <v>1823</v>
      </c>
    </row>
    <row r="248" spans="1:3" x14ac:dyDescent="0.25">
      <c r="A248" t="s">
        <v>100</v>
      </c>
      <c r="B248" t="s">
        <v>2068</v>
      </c>
      <c r="C248" t="s">
        <v>1823</v>
      </c>
    </row>
    <row r="249" spans="1:3" x14ac:dyDescent="0.25">
      <c r="A249" t="s">
        <v>201</v>
      </c>
      <c r="B249" t="s">
        <v>2069</v>
      </c>
      <c r="C249" t="s">
        <v>1819</v>
      </c>
    </row>
    <row r="250" spans="1:3" x14ac:dyDescent="0.25">
      <c r="A250" t="s">
        <v>1637</v>
      </c>
      <c r="B250" t="s">
        <v>2070</v>
      </c>
      <c r="C250" t="s">
        <v>1819</v>
      </c>
    </row>
    <row r="251" spans="1:3" x14ac:dyDescent="0.25">
      <c r="A251" t="s">
        <v>313</v>
      </c>
      <c r="B251" t="s">
        <v>2071</v>
      </c>
      <c r="C251" t="s">
        <v>1821</v>
      </c>
    </row>
    <row r="252" spans="1:3" x14ac:dyDescent="0.25">
      <c r="A252" t="s">
        <v>57</v>
      </c>
      <c r="B252" t="s">
        <v>2072</v>
      </c>
      <c r="C252" t="s">
        <v>1823</v>
      </c>
    </row>
    <row r="253" spans="1:3" x14ac:dyDescent="0.25">
      <c r="A253" t="s">
        <v>169</v>
      </c>
      <c r="B253" t="s">
        <v>2073</v>
      </c>
      <c r="C253" t="s">
        <v>1821</v>
      </c>
    </row>
    <row r="254" spans="1:3" x14ac:dyDescent="0.25">
      <c r="A254" t="s">
        <v>336</v>
      </c>
      <c r="B254" t="s">
        <v>2074</v>
      </c>
      <c r="C254" t="s">
        <v>1819</v>
      </c>
    </row>
    <row r="255" spans="1:3" x14ac:dyDescent="0.25">
      <c r="A255" t="s">
        <v>362</v>
      </c>
      <c r="B255" t="s">
        <v>2075</v>
      </c>
      <c r="C255" t="s">
        <v>1823</v>
      </c>
    </row>
    <row r="256" spans="1:3" x14ac:dyDescent="0.25">
      <c r="A256" t="s">
        <v>92</v>
      </c>
      <c r="B256" t="s">
        <v>2076</v>
      </c>
      <c r="C256" t="s">
        <v>1821</v>
      </c>
    </row>
    <row r="257" spans="1:3" x14ac:dyDescent="0.25">
      <c r="A257" t="s">
        <v>65</v>
      </c>
      <c r="B257" t="s">
        <v>2077</v>
      </c>
      <c r="C257" t="s">
        <v>1819</v>
      </c>
    </row>
    <row r="258" spans="1:3" x14ac:dyDescent="0.25">
      <c r="A258" t="s">
        <v>936</v>
      </c>
      <c r="B258" t="s">
        <v>2078</v>
      </c>
      <c r="C258" t="s">
        <v>1823</v>
      </c>
    </row>
    <row r="259" spans="1:3" x14ac:dyDescent="0.25">
      <c r="A259" t="s">
        <v>1431</v>
      </c>
      <c r="B259" t="s">
        <v>2079</v>
      </c>
      <c r="C259" t="s">
        <v>1821</v>
      </c>
    </row>
    <row r="260" spans="1:3" x14ac:dyDescent="0.25">
      <c r="A260" t="s">
        <v>113</v>
      </c>
      <c r="B260" t="s">
        <v>2080</v>
      </c>
      <c r="C260" t="s">
        <v>1821</v>
      </c>
    </row>
    <row r="261" spans="1:3" x14ac:dyDescent="0.25">
      <c r="A261" t="s">
        <v>889</v>
      </c>
      <c r="B261" t="s">
        <v>2081</v>
      </c>
      <c r="C261" t="s">
        <v>1819</v>
      </c>
    </row>
    <row r="262" spans="1:3" x14ac:dyDescent="0.25">
      <c r="A262" t="s">
        <v>130</v>
      </c>
      <c r="B262" t="s">
        <v>2082</v>
      </c>
      <c r="C262" t="s">
        <v>1823</v>
      </c>
    </row>
    <row r="263" spans="1:3" x14ac:dyDescent="0.25">
      <c r="A263" t="s">
        <v>401</v>
      </c>
      <c r="B263" t="s">
        <v>2083</v>
      </c>
      <c r="C263" t="s">
        <v>1819</v>
      </c>
    </row>
    <row r="264" spans="1:3" x14ac:dyDescent="0.25">
      <c r="A264" t="s">
        <v>119</v>
      </c>
      <c r="B264" t="s">
        <v>2084</v>
      </c>
      <c r="C264" t="s">
        <v>1819</v>
      </c>
    </row>
    <row r="265" spans="1:3" x14ac:dyDescent="0.25">
      <c r="A265" t="s">
        <v>929</v>
      </c>
      <c r="B265" t="s">
        <v>2085</v>
      </c>
      <c r="C265" t="s">
        <v>1819</v>
      </c>
    </row>
    <row r="266" spans="1:3" x14ac:dyDescent="0.25">
      <c r="A266" t="s">
        <v>704</v>
      </c>
      <c r="B266" t="s">
        <v>2086</v>
      </c>
      <c r="C266" t="s">
        <v>1819</v>
      </c>
    </row>
    <row r="267" spans="1:3" x14ac:dyDescent="0.25">
      <c r="A267" t="s">
        <v>1184</v>
      </c>
      <c r="B267" t="s">
        <v>2087</v>
      </c>
      <c r="C267" t="s">
        <v>1821</v>
      </c>
    </row>
    <row r="268" spans="1:3" x14ac:dyDescent="0.25">
      <c r="A268" t="s">
        <v>197</v>
      </c>
      <c r="B268" t="s">
        <v>2088</v>
      </c>
      <c r="C268" t="s">
        <v>1819</v>
      </c>
    </row>
    <row r="269" spans="1:3" x14ac:dyDescent="0.25">
      <c r="A269" t="s">
        <v>435</v>
      </c>
      <c r="B269" t="s">
        <v>2089</v>
      </c>
      <c r="C269" t="s">
        <v>1821</v>
      </c>
    </row>
    <row r="270" spans="1:3" x14ac:dyDescent="0.25">
      <c r="A270" t="s">
        <v>55</v>
      </c>
      <c r="B270" t="s">
        <v>2090</v>
      </c>
      <c r="C270" t="s">
        <v>1823</v>
      </c>
    </row>
    <row r="271" spans="1:3" x14ac:dyDescent="0.25">
      <c r="A271" t="s">
        <v>369</v>
      </c>
      <c r="B271" t="s">
        <v>2091</v>
      </c>
      <c r="C271" t="s">
        <v>1819</v>
      </c>
    </row>
    <row r="272" spans="1:3" x14ac:dyDescent="0.25">
      <c r="A272" t="s">
        <v>69</v>
      </c>
      <c r="B272" t="s">
        <v>2092</v>
      </c>
      <c r="C272" t="s">
        <v>1821</v>
      </c>
    </row>
    <row r="273" spans="1:3" x14ac:dyDescent="0.25">
      <c r="A273" t="s">
        <v>61</v>
      </c>
      <c r="B273" t="s">
        <v>2093</v>
      </c>
      <c r="C273" t="s">
        <v>1823</v>
      </c>
    </row>
    <row r="274" spans="1:3" x14ac:dyDescent="0.25">
      <c r="A274" t="s">
        <v>236</v>
      </c>
      <c r="B274" t="s">
        <v>2094</v>
      </c>
      <c r="C274" t="s">
        <v>1819</v>
      </c>
    </row>
    <row r="275" spans="1:3" x14ac:dyDescent="0.25">
      <c r="A275" t="s">
        <v>371</v>
      </c>
      <c r="B275" t="s">
        <v>2095</v>
      </c>
      <c r="C275" t="s">
        <v>1823</v>
      </c>
    </row>
    <row r="276" spans="1:3" x14ac:dyDescent="0.25">
      <c r="A276" t="s">
        <v>633</v>
      </c>
      <c r="B276" t="s">
        <v>2096</v>
      </c>
      <c r="C276" t="s">
        <v>1821</v>
      </c>
    </row>
    <row r="277" spans="1:3" x14ac:dyDescent="0.25">
      <c r="A277" t="s">
        <v>1265</v>
      </c>
      <c r="B277" t="s">
        <v>2097</v>
      </c>
      <c r="C277" t="s">
        <v>1819</v>
      </c>
    </row>
    <row r="278" spans="1:3" x14ac:dyDescent="0.25">
      <c r="A278" t="s">
        <v>9</v>
      </c>
      <c r="B278" t="s">
        <v>2098</v>
      </c>
      <c r="C278" t="s">
        <v>1823</v>
      </c>
    </row>
    <row r="279" spans="1:3" x14ac:dyDescent="0.25">
      <c r="A279" t="s">
        <v>1181</v>
      </c>
      <c r="B279" t="s">
        <v>2099</v>
      </c>
      <c r="C279" t="s">
        <v>1821</v>
      </c>
    </row>
    <row r="280" spans="1:3" x14ac:dyDescent="0.25">
      <c r="A280" t="s">
        <v>345</v>
      </c>
      <c r="B280" t="s">
        <v>2100</v>
      </c>
      <c r="C280" t="s">
        <v>1823</v>
      </c>
    </row>
    <row r="281" spans="1:3" x14ac:dyDescent="0.25">
      <c r="A281" t="s">
        <v>132</v>
      </c>
      <c r="B281" t="s">
        <v>2101</v>
      </c>
      <c r="C281" t="s">
        <v>1823</v>
      </c>
    </row>
    <row r="282" spans="1:3" x14ac:dyDescent="0.25">
      <c r="A282" t="s">
        <v>744</v>
      </c>
      <c r="B282" t="s">
        <v>2102</v>
      </c>
      <c r="C282" t="s">
        <v>1819</v>
      </c>
    </row>
    <row r="283" spans="1:3" x14ac:dyDescent="0.25">
      <c r="A283" t="s">
        <v>136</v>
      </c>
      <c r="B283" t="s">
        <v>2103</v>
      </c>
      <c r="C283" t="s">
        <v>1821</v>
      </c>
    </row>
    <row r="284" spans="1:3" x14ac:dyDescent="0.25">
      <c r="A284" t="s">
        <v>322</v>
      </c>
      <c r="B284" t="s">
        <v>2104</v>
      </c>
      <c r="C284" t="s">
        <v>1821</v>
      </c>
    </row>
    <row r="285" spans="1:3" x14ac:dyDescent="0.25">
      <c r="A285" t="s">
        <v>1096</v>
      </c>
      <c r="B285" t="s">
        <v>2105</v>
      </c>
      <c r="C285" t="s">
        <v>1819</v>
      </c>
    </row>
    <row r="286" spans="1:3" x14ac:dyDescent="0.25">
      <c r="A286" t="s">
        <v>618</v>
      </c>
      <c r="B286" t="s">
        <v>2106</v>
      </c>
      <c r="C286" t="s">
        <v>1821</v>
      </c>
    </row>
    <row r="287" spans="1:3" x14ac:dyDescent="0.25">
      <c r="A287" t="s">
        <v>551</v>
      </c>
      <c r="B287" t="s">
        <v>2107</v>
      </c>
      <c r="C287" t="s">
        <v>1821</v>
      </c>
    </row>
    <row r="288" spans="1:3" x14ac:dyDescent="0.25">
      <c r="A288" t="s">
        <v>166</v>
      </c>
      <c r="B288" t="s">
        <v>2108</v>
      </c>
      <c r="C288" t="s">
        <v>1823</v>
      </c>
    </row>
    <row r="289" spans="1:3" x14ac:dyDescent="0.25">
      <c r="A289" t="s">
        <v>252</v>
      </c>
      <c r="B289" t="s">
        <v>2109</v>
      </c>
      <c r="C289" t="s">
        <v>1821</v>
      </c>
    </row>
    <row r="290" spans="1:3" x14ac:dyDescent="0.25">
      <c r="A290" t="s">
        <v>874</v>
      </c>
      <c r="B290" t="s">
        <v>2110</v>
      </c>
      <c r="C290" t="s">
        <v>1823</v>
      </c>
    </row>
    <row r="291" spans="1:3" x14ac:dyDescent="0.25">
      <c r="A291" t="s">
        <v>161</v>
      </c>
      <c r="B291" t="s">
        <v>2111</v>
      </c>
      <c r="C291" t="s">
        <v>1821</v>
      </c>
    </row>
    <row r="292" spans="1:3" x14ac:dyDescent="0.25">
      <c r="A292" t="s">
        <v>330</v>
      </c>
      <c r="B292" t="s">
        <v>2112</v>
      </c>
      <c r="C292" t="s">
        <v>1821</v>
      </c>
    </row>
    <row r="293" spans="1:3" x14ac:dyDescent="0.25">
      <c r="A293" t="s">
        <v>63</v>
      </c>
      <c r="B293" t="s">
        <v>2113</v>
      </c>
      <c r="C293" t="s">
        <v>1819</v>
      </c>
    </row>
    <row r="294" spans="1:3" x14ac:dyDescent="0.25">
      <c r="A294" t="s">
        <v>589</v>
      </c>
      <c r="B294" t="s">
        <v>2114</v>
      </c>
      <c r="C294" t="s">
        <v>1819</v>
      </c>
    </row>
    <row r="295" spans="1:3" x14ac:dyDescent="0.25">
      <c r="A295" t="s">
        <v>191</v>
      </c>
      <c r="B295" t="s">
        <v>2115</v>
      </c>
      <c r="C295" t="s">
        <v>1819</v>
      </c>
    </row>
    <row r="296" spans="1:3" x14ac:dyDescent="0.25">
      <c r="A296" t="s">
        <v>598</v>
      </c>
      <c r="B296" t="s">
        <v>2116</v>
      </c>
      <c r="C296" t="s">
        <v>1821</v>
      </c>
    </row>
    <row r="297" spans="1:3" x14ac:dyDescent="0.25">
      <c r="A297" t="s">
        <v>560</v>
      </c>
      <c r="B297" t="s">
        <v>2117</v>
      </c>
      <c r="C297" t="s">
        <v>1821</v>
      </c>
    </row>
    <row r="298" spans="1:3" x14ac:dyDescent="0.25">
      <c r="A298" t="s">
        <v>49</v>
      </c>
      <c r="B298" t="s">
        <v>2118</v>
      </c>
      <c r="C298" t="s">
        <v>1823</v>
      </c>
    </row>
    <row r="299" spans="1:3" x14ac:dyDescent="0.25">
      <c r="A299" t="s">
        <v>94</v>
      </c>
      <c r="B299" t="s">
        <v>2119</v>
      </c>
      <c r="C299" t="s">
        <v>1823</v>
      </c>
    </row>
    <row r="300" spans="1:3" x14ac:dyDescent="0.25">
      <c r="A300" t="s">
        <v>121</v>
      </c>
      <c r="B300" t="s">
        <v>2120</v>
      </c>
      <c r="C300" t="s">
        <v>1823</v>
      </c>
    </row>
    <row r="301" spans="1:3" x14ac:dyDescent="0.25">
      <c r="A301" t="s">
        <v>187</v>
      </c>
      <c r="B301" t="s">
        <v>2121</v>
      </c>
      <c r="C301" t="s">
        <v>1821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6"/>
  <sheetViews>
    <sheetView workbookViewId="0">
      <selection activeCell="B7" sqref="B7"/>
    </sheetView>
  </sheetViews>
  <sheetFormatPr defaultRowHeight="15" x14ac:dyDescent="0.25"/>
  <cols>
    <col min="1" max="1" width="10" customWidth="1"/>
    <col min="2" max="2" width="11" customWidth="1"/>
    <col min="3" max="3" width="10.85546875" customWidth="1"/>
    <col min="4" max="4" width="11" customWidth="1"/>
    <col min="5" max="5" width="11.5703125" customWidth="1"/>
  </cols>
  <sheetData>
    <row r="1" spans="1:5" x14ac:dyDescent="0.25">
      <c r="A1" t="s">
        <v>4</v>
      </c>
      <c r="B1" t="s">
        <v>2122</v>
      </c>
      <c r="C1" t="s">
        <v>5</v>
      </c>
      <c r="D1" t="s">
        <v>7</v>
      </c>
      <c r="E1" t="s">
        <v>2145</v>
      </c>
    </row>
    <row r="2" spans="1:5" x14ac:dyDescent="0.25">
      <c r="A2" t="s">
        <v>14</v>
      </c>
      <c r="B2" t="s">
        <v>2123</v>
      </c>
      <c r="C2">
        <v>897</v>
      </c>
      <c r="D2">
        <v>597687</v>
      </c>
      <c r="E2" s="7">
        <f>D2/C2</f>
        <v>666.31772575250841</v>
      </c>
    </row>
    <row r="3" spans="1:5" x14ac:dyDescent="0.25">
      <c r="A3" t="s">
        <v>11</v>
      </c>
      <c r="B3" t="s">
        <v>2124</v>
      </c>
      <c r="C3">
        <v>894</v>
      </c>
      <c r="D3">
        <v>578447</v>
      </c>
      <c r="E3" s="7">
        <f t="shared" ref="E3:E6" si="0">D3/C3</f>
        <v>647.03243847874717</v>
      </c>
    </row>
    <row r="4" spans="1:5" x14ac:dyDescent="0.25">
      <c r="A4" t="s">
        <v>32</v>
      </c>
      <c r="B4" t="s">
        <v>2124</v>
      </c>
      <c r="C4">
        <v>873</v>
      </c>
      <c r="D4">
        <v>572198</v>
      </c>
      <c r="E4" s="7">
        <f t="shared" si="0"/>
        <v>655.43871706758307</v>
      </c>
    </row>
    <row r="5" spans="1:5" x14ac:dyDescent="0.25">
      <c r="A5" t="s">
        <v>25</v>
      </c>
      <c r="B5" t="s">
        <v>2125</v>
      </c>
      <c r="C5">
        <v>945</v>
      </c>
      <c r="D5">
        <v>598183</v>
      </c>
      <c r="E5" s="7">
        <f t="shared" si="0"/>
        <v>632.99788359788363</v>
      </c>
    </row>
    <row r="6" spans="1:5" x14ac:dyDescent="0.25">
      <c r="A6" t="s">
        <v>35</v>
      </c>
      <c r="B6" t="s">
        <v>2125</v>
      </c>
      <c r="C6">
        <v>974</v>
      </c>
      <c r="D6">
        <v>624312</v>
      </c>
      <c r="E6" s="7">
        <f t="shared" si="0"/>
        <v>640.97741273100621</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36065-9347-45E3-AF0E-33AB3AD8603E}">
  <dimension ref="A2:F302"/>
  <sheetViews>
    <sheetView workbookViewId="0">
      <selection activeCell="D3" sqref="D3"/>
    </sheetView>
  </sheetViews>
  <sheetFormatPr defaultRowHeight="15" x14ac:dyDescent="0.25"/>
  <cols>
    <col min="1" max="1" width="14.7109375" bestFit="1" customWidth="1"/>
    <col min="2" max="2" width="15.5703125" bestFit="1" customWidth="1"/>
    <col min="3" max="3" width="5.85546875" bestFit="1" customWidth="1"/>
    <col min="4" max="4" width="10.7109375" bestFit="1" customWidth="1"/>
    <col min="5" max="5" width="9.42578125" hidden="1" customWidth="1"/>
    <col min="6" max="6" width="19.7109375" hidden="1" customWidth="1"/>
  </cols>
  <sheetData>
    <row r="2" spans="1:6" ht="15.75" x14ac:dyDescent="0.25">
      <c r="A2" s="2" t="s">
        <v>2</v>
      </c>
      <c r="B2" t="s">
        <v>2126</v>
      </c>
      <c r="C2" s="13" t="s">
        <v>2146</v>
      </c>
      <c r="D2" s="14" t="s">
        <v>2156</v>
      </c>
      <c r="E2" s="9" t="s">
        <v>2147</v>
      </c>
      <c r="F2" s="9" t="s">
        <v>2148</v>
      </c>
    </row>
    <row r="3" spans="1:6" x14ac:dyDescent="0.25">
      <c r="A3" t="s">
        <v>171</v>
      </c>
      <c r="B3">
        <v>25659</v>
      </c>
      <c r="C3">
        <f t="shared" ref="C3:C66" si="0">_xlfn.RANK.EQ(B3,$B$3:$B$302)</f>
        <v>6</v>
      </c>
      <c r="D3" s="12">
        <f t="shared" ref="D3:D66" si="1">IF(E3&lt;=0.2,1,IF(E3&lt;=0.6,2,3))</f>
        <v>1</v>
      </c>
      <c r="E3" s="8">
        <f>_xlfn.RANK.EQ(B3,$B$3:$B$302)/COUNT($B$3:$B$302)</f>
        <v>0.02</v>
      </c>
      <c r="F3" t="str" cm="1">
        <f t="array" ref="F3">_xlfn.IFS(
 E3&lt;=0.2,"High Value",
 E3&lt;=0.6,"Medium Value",
 TRUE,"Low Value"
)</f>
        <v>High Value</v>
      </c>
    </row>
    <row r="4" spans="1:6" x14ac:dyDescent="0.25">
      <c r="A4" t="s">
        <v>442</v>
      </c>
      <c r="B4">
        <v>8107</v>
      </c>
      <c r="C4">
        <f t="shared" si="0"/>
        <v>180</v>
      </c>
      <c r="D4" s="12">
        <f t="shared" si="1"/>
        <v>2</v>
      </c>
      <c r="E4" s="8">
        <f t="shared" ref="E4:E67" si="2">_xlfn.RANK.EQ(B4,$B$3:$B$302)/COUNT($B$3:$B$302)</f>
        <v>0.6</v>
      </c>
      <c r="F4" t="str" cm="1">
        <f t="array" ref="F4">_xlfn.IFS(
 E4&lt;=0.2,"High Value",
 E4&lt;=0.6,"Medium Value",
 TRUE,"Low Value"
)</f>
        <v>Medium Value</v>
      </c>
    </row>
    <row r="5" spans="1:6" x14ac:dyDescent="0.25">
      <c r="A5" t="s">
        <v>80</v>
      </c>
      <c r="B5">
        <v>24026</v>
      </c>
      <c r="C5">
        <f t="shared" si="0"/>
        <v>7</v>
      </c>
      <c r="D5" s="12">
        <f t="shared" si="1"/>
        <v>1</v>
      </c>
      <c r="E5" s="8">
        <f t="shared" si="2"/>
        <v>2.3333333333333334E-2</v>
      </c>
      <c r="F5" t="str" cm="1">
        <f t="array" ref="F5">_xlfn.IFS(
 E5&lt;=0.2,"High Value",
 E5&lt;=0.6,"Medium Value",
 TRUE,"Low Value"
)</f>
        <v>High Value</v>
      </c>
    </row>
    <row r="6" spans="1:6" x14ac:dyDescent="0.25">
      <c r="A6" t="s">
        <v>140</v>
      </c>
      <c r="B6">
        <v>3187</v>
      </c>
      <c r="C6">
        <f t="shared" si="0"/>
        <v>273</v>
      </c>
      <c r="D6" s="12">
        <f t="shared" si="1"/>
        <v>3</v>
      </c>
      <c r="E6" s="8">
        <f t="shared" si="2"/>
        <v>0.91</v>
      </c>
      <c r="F6" t="str" cm="1">
        <f t="array" ref="F6">_xlfn.IFS(
 E6&lt;=0.2,"High Value",
 E6&lt;=0.6,"Medium Value",
 TRUE,"Low Value"
)</f>
        <v>Low Value</v>
      </c>
    </row>
    <row r="7" spans="1:6" x14ac:dyDescent="0.25">
      <c r="A7" t="s">
        <v>685</v>
      </c>
      <c r="B7">
        <v>9774</v>
      </c>
      <c r="C7">
        <f t="shared" si="0"/>
        <v>142</v>
      </c>
      <c r="D7" s="12">
        <f t="shared" si="1"/>
        <v>2</v>
      </c>
      <c r="E7" s="8">
        <f t="shared" si="2"/>
        <v>0.47333333333333333</v>
      </c>
      <c r="F7" t="str" cm="1">
        <f t="array" ref="F7">_xlfn.IFS(
 E7&lt;=0.2,"High Value",
 E7&lt;=0.6,"Medium Value",
 TRUE,"Low Value"
)</f>
        <v>Medium Value</v>
      </c>
    </row>
    <row r="8" spans="1:6" x14ac:dyDescent="0.25">
      <c r="A8" t="s">
        <v>96</v>
      </c>
      <c r="B8">
        <v>4785</v>
      </c>
      <c r="C8">
        <f t="shared" si="0"/>
        <v>246</v>
      </c>
      <c r="D8" s="12">
        <f t="shared" si="1"/>
        <v>3</v>
      </c>
      <c r="E8" s="8">
        <f t="shared" si="2"/>
        <v>0.82</v>
      </c>
      <c r="F8" t="str" cm="1">
        <f t="array" ref="F8">_xlfn.IFS(
 E8&lt;=0.2,"High Value",
 E8&lt;=0.6,"Medium Value",
 TRUE,"Low Value"
)</f>
        <v>Low Value</v>
      </c>
    </row>
    <row r="9" spans="1:6" x14ac:dyDescent="0.25">
      <c r="A9" t="s">
        <v>206</v>
      </c>
      <c r="B9">
        <v>3761</v>
      </c>
      <c r="C9">
        <f t="shared" si="0"/>
        <v>265</v>
      </c>
      <c r="D9" s="12">
        <f t="shared" si="1"/>
        <v>3</v>
      </c>
      <c r="E9" s="8">
        <f t="shared" si="2"/>
        <v>0.8833333333333333</v>
      </c>
      <c r="F9" t="str" cm="1">
        <f t="array" ref="F9">_xlfn.IFS(
 E9&lt;=0.2,"High Value",
 E9&lt;=0.6,"Medium Value",
 TRUE,"Low Value"
)</f>
        <v>Low Value</v>
      </c>
    </row>
    <row r="10" spans="1:6" x14ac:dyDescent="0.25">
      <c r="A10" t="s">
        <v>146</v>
      </c>
      <c r="B10">
        <v>10663</v>
      </c>
      <c r="C10">
        <f t="shared" si="0"/>
        <v>113</v>
      </c>
      <c r="D10" s="12">
        <f t="shared" si="1"/>
        <v>2</v>
      </c>
      <c r="E10" s="8">
        <f t="shared" si="2"/>
        <v>0.37666666666666665</v>
      </c>
      <c r="F10" t="str" cm="1">
        <f t="array" ref="F10">_xlfn.IFS(
 E10&lt;=0.2,"High Value",
 E10&lt;=0.6,"Medium Value",
 TRUE,"Low Value"
)</f>
        <v>Medium Value</v>
      </c>
    </row>
    <row r="11" spans="1:6" x14ac:dyDescent="0.25">
      <c r="A11" t="s">
        <v>432</v>
      </c>
      <c r="B11">
        <v>7880</v>
      </c>
      <c r="C11">
        <f t="shared" si="0"/>
        <v>185</v>
      </c>
      <c r="D11" s="12">
        <f t="shared" si="1"/>
        <v>3</v>
      </c>
      <c r="E11" s="8">
        <f t="shared" si="2"/>
        <v>0.6166666666666667</v>
      </c>
      <c r="F11" t="str" cm="1">
        <f t="array" ref="F11">_xlfn.IFS(
 E11&lt;=0.2,"High Value",
 E11&lt;=0.6,"Medium Value",
 TRUE,"Low Value"
)</f>
        <v>Low Value</v>
      </c>
    </row>
    <row r="12" spans="1:6" x14ac:dyDescent="0.25">
      <c r="A12" t="s">
        <v>138</v>
      </c>
      <c r="B12">
        <v>15079</v>
      </c>
      <c r="C12">
        <f t="shared" si="0"/>
        <v>52</v>
      </c>
      <c r="D12" s="12">
        <f t="shared" si="1"/>
        <v>1</v>
      </c>
      <c r="E12" s="8">
        <f t="shared" si="2"/>
        <v>0.17333333333333334</v>
      </c>
      <c r="F12" t="str" cm="1">
        <f t="array" ref="F12">_xlfn.IFS(
 E12&lt;=0.2,"High Value",
 E12&lt;=0.6,"Medium Value",
 TRUE,"Low Value"
)</f>
        <v>High Value</v>
      </c>
    </row>
    <row r="13" spans="1:6" x14ac:dyDescent="0.25">
      <c r="A13" t="s">
        <v>698</v>
      </c>
      <c r="B13">
        <v>8702</v>
      </c>
      <c r="C13">
        <f t="shared" si="0"/>
        <v>164</v>
      </c>
      <c r="D13" s="12">
        <f t="shared" si="1"/>
        <v>2</v>
      </c>
      <c r="E13" s="8">
        <f t="shared" si="2"/>
        <v>0.54666666666666663</v>
      </c>
      <c r="F13" t="str" cm="1">
        <f t="array" ref="F13">_xlfn.IFS(
 E13&lt;=0.2,"High Value",
 E13&lt;=0.6,"Medium Value",
 TRUE,"Low Value"
)</f>
        <v>Medium Value</v>
      </c>
    </row>
    <row r="14" spans="1:6" x14ac:dyDescent="0.25">
      <c r="A14" t="s">
        <v>300</v>
      </c>
      <c r="B14">
        <v>11597</v>
      </c>
      <c r="C14">
        <f t="shared" si="0"/>
        <v>98</v>
      </c>
      <c r="D14" s="12">
        <f t="shared" si="1"/>
        <v>2</v>
      </c>
      <c r="E14" s="8">
        <f t="shared" si="2"/>
        <v>0.32666666666666666</v>
      </c>
      <c r="F14" t="str" cm="1">
        <f t="array" ref="F14">_xlfn.IFS(
 E14&lt;=0.2,"High Value",
 E14&lt;=0.6,"Medium Value",
 TRUE,"Low Value"
)</f>
        <v>Medium Value</v>
      </c>
    </row>
    <row r="15" spans="1:6" x14ac:dyDescent="0.25">
      <c r="A15" t="s">
        <v>354</v>
      </c>
      <c r="B15">
        <v>4641</v>
      </c>
      <c r="C15">
        <f t="shared" si="0"/>
        <v>250</v>
      </c>
      <c r="D15" s="12">
        <f t="shared" si="1"/>
        <v>3</v>
      </c>
      <c r="E15" s="8">
        <f t="shared" si="2"/>
        <v>0.83333333333333337</v>
      </c>
      <c r="F15" t="str" cm="1">
        <f t="array" ref="F15">_xlfn.IFS(
 E15&lt;=0.2,"High Value",
 E15&lt;=0.6,"Medium Value",
 TRUE,"Low Value"
)</f>
        <v>Low Value</v>
      </c>
    </row>
    <row r="16" spans="1:6" x14ac:dyDescent="0.25">
      <c r="A16" t="s">
        <v>818</v>
      </c>
      <c r="B16">
        <v>12685</v>
      </c>
      <c r="C16">
        <f t="shared" si="0"/>
        <v>86</v>
      </c>
      <c r="D16" s="12">
        <f t="shared" si="1"/>
        <v>2</v>
      </c>
      <c r="E16" s="8">
        <f t="shared" si="2"/>
        <v>0.28666666666666668</v>
      </c>
      <c r="F16" t="str" cm="1">
        <f t="array" ref="F16">_xlfn.IFS(
 E16&lt;=0.2,"High Value",
 E16&lt;=0.6,"Medium Value",
 TRUE,"Low Value"
)</f>
        <v>Medium Value</v>
      </c>
    </row>
    <row r="17" spans="1:6" x14ac:dyDescent="0.25">
      <c r="A17" t="s">
        <v>583</v>
      </c>
      <c r="B17">
        <v>8591</v>
      </c>
      <c r="C17">
        <f t="shared" si="0"/>
        <v>168</v>
      </c>
      <c r="D17" s="12">
        <f t="shared" si="1"/>
        <v>2</v>
      </c>
      <c r="E17" s="8">
        <f t="shared" si="2"/>
        <v>0.56000000000000005</v>
      </c>
      <c r="F17" t="str" cm="1">
        <f t="array" ref="F17">_xlfn.IFS(
 E17&lt;=0.2,"High Value",
 E17&lt;=0.6,"Medium Value",
 TRUE,"Low Value"
)</f>
        <v>Medium Value</v>
      </c>
    </row>
    <row r="18" spans="1:6" x14ac:dyDescent="0.25">
      <c r="A18" t="s">
        <v>284</v>
      </c>
      <c r="B18">
        <v>10514</v>
      </c>
      <c r="C18">
        <f t="shared" si="0"/>
        <v>116</v>
      </c>
      <c r="D18" s="12">
        <f t="shared" si="1"/>
        <v>2</v>
      </c>
      <c r="E18" s="8">
        <f t="shared" si="2"/>
        <v>0.38666666666666666</v>
      </c>
      <c r="F18" t="str" cm="1">
        <f t="array" ref="F18">_xlfn.IFS(
 E18&lt;=0.2,"High Value",
 E18&lt;=0.6,"Medium Value",
 TRUE,"Low Value"
)</f>
        <v>Medium Value</v>
      </c>
    </row>
    <row r="19" spans="1:6" x14ac:dyDescent="0.25">
      <c r="A19" t="s">
        <v>562</v>
      </c>
      <c r="B19">
        <v>10238</v>
      </c>
      <c r="C19">
        <f t="shared" si="0"/>
        <v>122</v>
      </c>
      <c r="D19" s="12">
        <f t="shared" si="1"/>
        <v>2</v>
      </c>
      <c r="E19" s="8">
        <f t="shared" si="2"/>
        <v>0.40666666666666668</v>
      </c>
      <c r="F19" t="str" cm="1">
        <f t="array" ref="F19">_xlfn.IFS(
 E19&lt;=0.2,"High Value",
 E19&lt;=0.6,"Medium Value",
 TRUE,"Low Value"
)</f>
        <v>Medium Value</v>
      </c>
    </row>
    <row r="20" spans="1:6" x14ac:dyDescent="0.25">
      <c r="A20" t="s">
        <v>24</v>
      </c>
      <c r="B20">
        <v>17298</v>
      </c>
      <c r="C20">
        <f t="shared" si="0"/>
        <v>31</v>
      </c>
      <c r="D20" s="12">
        <f t="shared" si="1"/>
        <v>1</v>
      </c>
      <c r="E20" s="8">
        <f t="shared" si="2"/>
        <v>0.10333333333333333</v>
      </c>
      <c r="F20" t="str" cm="1">
        <f t="array" ref="F20">_xlfn.IFS(
 E20&lt;=0.2,"High Value",
 E20&lt;=0.6,"Medium Value",
 TRUE,"Low Value"
)</f>
        <v>High Value</v>
      </c>
    </row>
    <row r="21" spans="1:6" x14ac:dyDescent="0.25">
      <c r="A21" t="s">
        <v>870</v>
      </c>
      <c r="B21">
        <v>2206</v>
      </c>
      <c r="C21">
        <f t="shared" si="0"/>
        <v>284</v>
      </c>
      <c r="D21" s="12">
        <f t="shared" si="1"/>
        <v>3</v>
      </c>
      <c r="E21" s="8">
        <f t="shared" si="2"/>
        <v>0.94666666666666666</v>
      </c>
      <c r="F21" t="str" cm="1">
        <f t="array" ref="F21">_xlfn.IFS(
 E21&lt;=0.2,"High Value",
 E21&lt;=0.6,"Medium Value",
 TRUE,"Low Value"
)</f>
        <v>Low Value</v>
      </c>
    </row>
    <row r="22" spans="1:6" x14ac:dyDescent="0.25">
      <c r="A22" t="s">
        <v>31</v>
      </c>
      <c r="B22">
        <v>16997</v>
      </c>
      <c r="C22">
        <f t="shared" si="0"/>
        <v>37</v>
      </c>
      <c r="D22" s="12">
        <f t="shared" si="1"/>
        <v>1</v>
      </c>
      <c r="E22" s="8">
        <f t="shared" si="2"/>
        <v>0.12333333333333334</v>
      </c>
      <c r="F22" t="str" cm="1">
        <f t="array" ref="F22">_xlfn.IFS(
 E22&lt;=0.2,"High Value",
 E22&lt;=0.6,"Medium Value",
 TRUE,"Low Value"
)</f>
        <v>High Value</v>
      </c>
    </row>
    <row r="23" spans="1:6" x14ac:dyDescent="0.25">
      <c r="A23" t="s">
        <v>719</v>
      </c>
      <c r="B23">
        <v>5697</v>
      </c>
      <c r="C23">
        <f t="shared" si="0"/>
        <v>223</v>
      </c>
      <c r="D23" s="12">
        <f t="shared" si="1"/>
        <v>3</v>
      </c>
      <c r="E23" s="8">
        <f t="shared" si="2"/>
        <v>0.74333333333333329</v>
      </c>
      <c r="F23" t="str" cm="1">
        <f t="array" ref="F23">_xlfn.IFS(
 E23&lt;=0.2,"High Value",
 E23&lt;=0.6,"Medium Value",
 TRUE,"Low Value"
)</f>
        <v>Low Value</v>
      </c>
    </row>
    <row r="24" spans="1:6" x14ac:dyDescent="0.25">
      <c r="A24" t="s">
        <v>292</v>
      </c>
      <c r="B24">
        <v>9108</v>
      </c>
      <c r="C24">
        <f t="shared" si="0"/>
        <v>159</v>
      </c>
      <c r="D24" s="12">
        <f t="shared" si="1"/>
        <v>2</v>
      </c>
      <c r="E24" s="8">
        <f t="shared" si="2"/>
        <v>0.53</v>
      </c>
      <c r="F24" t="str" cm="1">
        <f t="array" ref="F24">_xlfn.IFS(
 E24&lt;=0.2,"High Value",
 E24&lt;=0.6,"Medium Value",
 TRUE,"Low Value"
)</f>
        <v>Medium Value</v>
      </c>
    </row>
    <row r="25" spans="1:6" x14ac:dyDescent="0.25">
      <c r="A25" t="s">
        <v>219</v>
      </c>
      <c r="B25">
        <v>9313</v>
      </c>
      <c r="C25">
        <f t="shared" si="0"/>
        <v>153</v>
      </c>
      <c r="D25" s="12">
        <f t="shared" si="1"/>
        <v>2</v>
      </c>
      <c r="E25" s="8">
        <f t="shared" si="2"/>
        <v>0.51</v>
      </c>
      <c r="F25" t="str" cm="1">
        <f t="array" ref="F25">_xlfn.IFS(
 E25&lt;=0.2,"High Value",
 E25&lt;=0.6,"Medium Value",
 TRUE,"Low Value"
)</f>
        <v>Medium Value</v>
      </c>
    </row>
    <row r="26" spans="1:6" x14ac:dyDescent="0.25">
      <c r="A26" t="s">
        <v>82</v>
      </c>
      <c r="B26">
        <v>9692</v>
      </c>
      <c r="C26">
        <f t="shared" si="0"/>
        <v>144</v>
      </c>
      <c r="D26" s="12">
        <f t="shared" si="1"/>
        <v>2</v>
      </c>
      <c r="E26" s="8">
        <f t="shared" si="2"/>
        <v>0.48</v>
      </c>
      <c r="F26" t="str" cm="1">
        <f t="array" ref="F26">_xlfn.IFS(
 E26&lt;=0.2,"High Value",
 E26&lt;=0.6,"Medium Value",
 TRUE,"Low Value"
)</f>
        <v>Medium Value</v>
      </c>
    </row>
    <row r="27" spans="1:6" x14ac:dyDescent="0.25">
      <c r="A27" t="s">
        <v>603</v>
      </c>
      <c r="B27">
        <v>8475</v>
      </c>
      <c r="C27">
        <f t="shared" si="0"/>
        <v>170</v>
      </c>
      <c r="D27" s="12">
        <f t="shared" si="1"/>
        <v>2</v>
      </c>
      <c r="E27" s="8">
        <f t="shared" si="2"/>
        <v>0.56666666666666665</v>
      </c>
      <c r="F27" t="str" cm="1">
        <f t="array" ref="F27">_xlfn.IFS(
 E27&lt;=0.2,"High Value",
 E27&lt;=0.6,"Medium Value",
 TRUE,"Low Value"
)</f>
        <v>Medium Value</v>
      </c>
    </row>
    <row r="28" spans="1:6" x14ac:dyDescent="0.25">
      <c r="A28" t="s">
        <v>468</v>
      </c>
      <c r="B28">
        <v>9842</v>
      </c>
      <c r="C28">
        <f t="shared" si="0"/>
        <v>139</v>
      </c>
      <c r="D28" s="12">
        <f t="shared" si="1"/>
        <v>2</v>
      </c>
      <c r="E28" s="8">
        <f t="shared" si="2"/>
        <v>0.46333333333333332</v>
      </c>
      <c r="F28" t="str" cm="1">
        <f t="array" ref="F28">_xlfn.IFS(
 E28&lt;=0.2,"High Value",
 E28&lt;=0.6,"Medium Value",
 TRUE,"Low Value"
)</f>
        <v>Medium Value</v>
      </c>
    </row>
    <row r="29" spans="1:6" x14ac:dyDescent="0.25">
      <c r="A29" t="s">
        <v>306</v>
      </c>
      <c r="B29">
        <v>17161</v>
      </c>
      <c r="C29">
        <f t="shared" si="0"/>
        <v>34</v>
      </c>
      <c r="D29" s="12">
        <f t="shared" si="1"/>
        <v>1</v>
      </c>
      <c r="E29" s="8">
        <f t="shared" si="2"/>
        <v>0.11333333333333333</v>
      </c>
      <c r="F29" t="str" cm="1">
        <f t="array" ref="F29">_xlfn.IFS(
 E29&lt;=0.2,"High Value",
 E29&lt;=0.6,"Medium Value",
 TRUE,"Low Value"
)</f>
        <v>High Value</v>
      </c>
    </row>
    <row r="30" spans="1:6" x14ac:dyDescent="0.25">
      <c r="A30" t="s">
        <v>144</v>
      </c>
      <c r="B30">
        <v>7630</v>
      </c>
      <c r="C30">
        <f t="shared" si="0"/>
        <v>190</v>
      </c>
      <c r="D30" s="12">
        <f t="shared" si="1"/>
        <v>3</v>
      </c>
      <c r="E30" s="8">
        <f t="shared" si="2"/>
        <v>0.6333333333333333</v>
      </c>
      <c r="F30" t="str" cm="1">
        <f t="array" ref="F30">_xlfn.IFS(
 E30&lt;=0.2,"High Value",
 E30&lt;=0.6,"Medium Value",
 TRUE,"Low Value"
)</f>
        <v>Low Value</v>
      </c>
    </row>
    <row r="31" spans="1:6" x14ac:dyDescent="0.25">
      <c r="A31" t="s">
        <v>13</v>
      </c>
      <c r="B31">
        <v>8427</v>
      </c>
      <c r="C31">
        <f t="shared" si="0"/>
        <v>172</v>
      </c>
      <c r="D31" s="12">
        <f t="shared" si="1"/>
        <v>2</v>
      </c>
      <c r="E31" s="8">
        <f t="shared" si="2"/>
        <v>0.57333333333333336</v>
      </c>
      <c r="F31" t="str" cm="1">
        <f t="array" ref="F31">_xlfn.IFS(
 E31&lt;=0.2,"High Value",
 E31&lt;=0.6,"Medium Value",
 TRUE,"Low Value"
)</f>
        <v>Medium Value</v>
      </c>
    </row>
    <row r="32" spans="1:6" x14ac:dyDescent="0.25">
      <c r="A32" t="s">
        <v>179</v>
      </c>
      <c r="B32">
        <v>7180</v>
      </c>
      <c r="C32">
        <f t="shared" si="0"/>
        <v>197</v>
      </c>
      <c r="D32" s="12">
        <f t="shared" si="1"/>
        <v>3</v>
      </c>
      <c r="E32" s="8">
        <f t="shared" si="2"/>
        <v>0.65666666666666662</v>
      </c>
      <c r="F32" t="str" cm="1">
        <f t="array" ref="F32">_xlfn.IFS(
 E32&lt;=0.2,"High Value",
 E32&lt;=0.6,"Medium Value",
 TRUE,"Low Value"
)</f>
        <v>Low Value</v>
      </c>
    </row>
    <row r="33" spans="1:6" x14ac:dyDescent="0.25">
      <c r="A33" t="s">
        <v>1101</v>
      </c>
      <c r="B33">
        <v>6453</v>
      </c>
      <c r="C33">
        <f t="shared" si="0"/>
        <v>210</v>
      </c>
      <c r="D33" s="12">
        <f t="shared" si="1"/>
        <v>3</v>
      </c>
      <c r="E33" s="8">
        <f t="shared" si="2"/>
        <v>0.7</v>
      </c>
      <c r="F33" t="str" cm="1">
        <f t="array" ref="F33">_xlfn.IFS(
 E33&lt;=0.2,"High Value",
 E33&lt;=0.6,"Medium Value",
 TRUE,"Low Value"
)</f>
        <v>Low Value</v>
      </c>
    </row>
    <row r="34" spans="1:6" x14ac:dyDescent="0.25">
      <c r="A34" t="s">
        <v>979</v>
      </c>
      <c r="B34">
        <v>3536</v>
      </c>
      <c r="C34">
        <f t="shared" si="0"/>
        <v>268</v>
      </c>
      <c r="D34" s="12">
        <f t="shared" si="1"/>
        <v>3</v>
      </c>
      <c r="E34" s="8">
        <f t="shared" si="2"/>
        <v>0.89333333333333331</v>
      </c>
      <c r="F34" t="str" cm="1">
        <f t="array" ref="F34">_xlfn.IFS(
 E34&lt;=0.2,"High Value",
 E34&lt;=0.6,"Medium Value",
 TRUE,"Low Value"
)</f>
        <v>Low Value</v>
      </c>
    </row>
    <row r="35" spans="1:6" x14ac:dyDescent="0.25">
      <c r="A35" t="s">
        <v>272</v>
      </c>
      <c r="B35">
        <v>14061</v>
      </c>
      <c r="C35">
        <f t="shared" si="0"/>
        <v>62</v>
      </c>
      <c r="D35" s="12">
        <f t="shared" si="1"/>
        <v>2</v>
      </c>
      <c r="E35" s="8">
        <f t="shared" si="2"/>
        <v>0.20666666666666667</v>
      </c>
      <c r="F35" t="str" cm="1">
        <f t="array" ref="F35">_xlfn.IFS(
 E35&lt;=0.2,"High Value",
 E35&lt;=0.6,"Medium Value",
 TRUE,"Low Value"
)</f>
        <v>Medium Value</v>
      </c>
    </row>
    <row r="36" spans="1:6" x14ac:dyDescent="0.25">
      <c r="A36" t="s">
        <v>199</v>
      </c>
      <c r="B36">
        <v>10849</v>
      </c>
      <c r="C36">
        <f t="shared" si="0"/>
        <v>110</v>
      </c>
      <c r="D36" s="12">
        <f t="shared" si="1"/>
        <v>2</v>
      </c>
      <c r="E36" s="8">
        <f t="shared" si="2"/>
        <v>0.36666666666666664</v>
      </c>
      <c r="F36" t="str" cm="1">
        <f t="array" ref="F36">_xlfn.IFS(
 E36&lt;=0.2,"High Value",
 E36&lt;=0.6,"Medium Value",
 TRUE,"Low Value"
)</f>
        <v>Medium Value</v>
      </c>
    </row>
    <row r="37" spans="1:6" x14ac:dyDescent="0.25">
      <c r="A37" t="s">
        <v>278</v>
      </c>
      <c r="B37">
        <v>29467</v>
      </c>
      <c r="C37">
        <f t="shared" si="0"/>
        <v>2</v>
      </c>
      <c r="D37" s="12">
        <f t="shared" si="1"/>
        <v>1</v>
      </c>
      <c r="E37" s="8">
        <f t="shared" si="2"/>
        <v>6.6666666666666671E-3</v>
      </c>
      <c r="F37" t="str" cm="1">
        <f t="array" ref="F37">_xlfn.IFS(
 E37&lt;=0.2,"High Value",
 E37&lt;=0.6,"Medium Value",
 TRUE,"Low Value"
)</f>
        <v>High Value</v>
      </c>
    </row>
    <row r="38" spans="1:6" x14ac:dyDescent="0.25">
      <c r="A38" t="s">
        <v>367</v>
      </c>
      <c r="B38">
        <v>9490</v>
      </c>
      <c r="C38">
        <f t="shared" si="0"/>
        <v>149</v>
      </c>
      <c r="D38" s="12">
        <f t="shared" si="1"/>
        <v>2</v>
      </c>
      <c r="E38" s="8">
        <f t="shared" si="2"/>
        <v>0.49666666666666665</v>
      </c>
      <c r="F38" t="str" cm="1">
        <f t="array" ref="F38">_xlfn.IFS(
 E38&lt;=0.2,"High Value",
 E38&lt;=0.6,"Medium Value",
 TRUE,"Low Value"
)</f>
        <v>Medium Value</v>
      </c>
    </row>
    <row r="39" spans="1:6" x14ac:dyDescent="0.25">
      <c r="A39" t="s">
        <v>123</v>
      </c>
      <c r="B39">
        <v>4503</v>
      </c>
      <c r="C39">
        <f t="shared" si="0"/>
        <v>252</v>
      </c>
      <c r="D39" s="12">
        <f t="shared" si="1"/>
        <v>3</v>
      </c>
      <c r="E39" s="8">
        <f t="shared" si="2"/>
        <v>0.84</v>
      </c>
      <c r="F39" t="str" cm="1">
        <f t="array" ref="F39">_xlfn.IFS(
 E39&lt;=0.2,"High Value",
 E39&lt;=0.6,"Medium Value",
 TRUE,"Low Value"
)</f>
        <v>Low Value</v>
      </c>
    </row>
    <row r="40" spans="1:6" x14ac:dyDescent="0.25">
      <c r="A40" t="s">
        <v>185</v>
      </c>
      <c r="B40">
        <v>11025</v>
      </c>
      <c r="C40">
        <f t="shared" si="0"/>
        <v>104</v>
      </c>
      <c r="D40" s="12">
        <f t="shared" si="1"/>
        <v>2</v>
      </c>
      <c r="E40" s="8">
        <f t="shared" si="2"/>
        <v>0.34666666666666668</v>
      </c>
      <c r="F40" t="str" cm="1">
        <f t="array" ref="F40">_xlfn.IFS(
 E40&lt;=0.2,"High Value",
 E40&lt;=0.6,"Medium Value",
 TRUE,"Low Value"
)</f>
        <v>Medium Value</v>
      </c>
    </row>
    <row r="41" spans="1:6" x14ac:dyDescent="0.25">
      <c r="A41" t="s">
        <v>358</v>
      </c>
      <c r="B41">
        <v>19303</v>
      </c>
      <c r="C41">
        <f t="shared" si="0"/>
        <v>24</v>
      </c>
      <c r="D41" s="12">
        <f t="shared" si="1"/>
        <v>1</v>
      </c>
      <c r="E41" s="8">
        <f t="shared" si="2"/>
        <v>0.08</v>
      </c>
      <c r="F41" t="str" cm="1">
        <f t="array" ref="F41">_xlfn.IFS(
 E41&lt;=0.2,"High Value",
 E41&lt;=0.6,"Medium Value",
 TRUE,"Low Value"
)</f>
        <v>High Value</v>
      </c>
    </row>
    <row r="42" spans="1:6" x14ac:dyDescent="0.25">
      <c r="A42" t="s">
        <v>824</v>
      </c>
      <c r="B42">
        <v>18757</v>
      </c>
      <c r="C42">
        <f t="shared" si="0"/>
        <v>27</v>
      </c>
      <c r="D42" s="12">
        <f t="shared" si="1"/>
        <v>1</v>
      </c>
      <c r="E42" s="8">
        <f t="shared" si="2"/>
        <v>0.09</v>
      </c>
      <c r="F42" t="str" cm="1">
        <f t="array" ref="F42">_xlfn.IFS(
 E42&lt;=0.2,"High Value",
 E42&lt;=0.6,"Medium Value",
 TRUE,"Low Value"
)</f>
        <v>High Value</v>
      </c>
    </row>
    <row r="43" spans="1:6" x14ac:dyDescent="0.25">
      <c r="A43" t="s">
        <v>109</v>
      </c>
      <c r="B43">
        <v>16930</v>
      </c>
      <c r="C43">
        <f t="shared" si="0"/>
        <v>38</v>
      </c>
      <c r="D43" s="12">
        <f t="shared" si="1"/>
        <v>1</v>
      </c>
      <c r="E43" s="8">
        <f t="shared" si="2"/>
        <v>0.12666666666666668</v>
      </c>
      <c r="F43" t="str" cm="1">
        <f t="array" ref="F43">_xlfn.IFS(
 E43&lt;=0.2,"High Value",
 E43&lt;=0.6,"Medium Value",
 TRUE,"Low Value"
)</f>
        <v>High Value</v>
      </c>
    </row>
    <row r="44" spans="1:6" x14ac:dyDescent="0.25">
      <c r="A44" t="s">
        <v>580</v>
      </c>
      <c r="B44">
        <v>2813</v>
      </c>
      <c r="C44">
        <f t="shared" si="0"/>
        <v>276</v>
      </c>
      <c r="D44" s="12">
        <f t="shared" si="1"/>
        <v>3</v>
      </c>
      <c r="E44" s="8">
        <f t="shared" si="2"/>
        <v>0.92</v>
      </c>
      <c r="F44" t="str" cm="1">
        <f t="array" ref="F44">_xlfn.IFS(
 E44&lt;=0.2,"High Value",
 E44&lt;=0.6,"Medium Value",
 TRUE,"Low Value"
)</f>
        <v>Low Value</v>
      </c>
    </row>
    <row r="45" spans="1:6" x14ac:dyDescent="0.25">
      <c r="A45" t="s">
        <v>51</v>
      </c>
      <c r="B45">
        <v>23130</v>
      </c>
      <c r="C45">
        <f t="shared" si="0"/>
        <v>9</v>
      </c>
      <c r="D45" s="12">
        <f t="shared" si="1"/>
        <v>1</v>
      </c>
      <c r="E45" s="8">
        <f t="shared" si="2"/>
        <v>0.03</v>
      </c>
      <c r="F45" t="str" cm="1">
        <f t="array" ref="F45">_xlfn.IFS(
 E45&lt;=0.2,"High Value",
 E45&lt;=0.6,"Medium Value",
 TRUE,"Low Value"
)</f>
        <v>High Value</v>
      </c>
    </row>
    <row r="46" spans="1:6" x14ac:dyDescent="0.25">
      <c r="A46" t="s">
        <v>29</v>
      </c>
      <c r="B46">
        <v>20999</v>
      </c>
      <c r="C46">
        <f t="shared" si="0"/>
        <v>18</v>
      </c>
      <c r="D46" s="12">
        <f t="shared" si="1"/>
        <v>1</v>
      </c>
      <c r="E46" s="8">
        <f t="shared" si="2"/>
        <v>0.06</v>
      </c>
      <c r="F46" t="str" cm="1">
        <f t="array" ref="F46">_xlfn.IFS(
 E46&lt;=0.2,"High Value",
 E46&lt;=0.6,"Medium Value",
 TRUE,"Low Value"
)</f>
        <v>High Value</v>
      </c>
    </row>
    <row r="47" spans="1:6" x14ac:dyDescent="0.25">
      <c r="A47" t="s">
        <v>647</v>
      </c>
      <c r="B47">
        <v>5604</v>
      </c>
      <c r="C47">
        <f t="shared" si="0"/>
        <v>229</v>
      </c>
      <c r="D47" s="12">
        <f t="shared" si="1"/>
        <v>3</v>
      </c>
      <c r="E47" s="8">
        <f t="shared" si="2"/>
        <v>0.76333333333333331</v>
      </c>
      <c r="F47" t="str" cm="1">
        <f t="array" ref="F47">_xlfn.IFS(
 E47&lt;=0.2,"High Value",
 E47&lt;=0.6,"Medium Value",
 TRUE,"Low Value"
)</f>
        <v>Low Value</v>
      </c>
    </row>
    <row r="48" spans="1:6" x14ac:dyDescent="0.25">
      <c r="A48" t="s">
        <v>86</v>
      </c>
      <c r="B48">
        <v>12190</v>
      </c>
      <c r="C48">
        <f t="shared" si="0"/>
        <v>92</v>
      </c>
      <c r="D48" s="12">
        <f t="shared" si="1"/>
        <v>2</v>
      </c>
      <c r="E48" s="8">
        <f t="shared" si="2"/>
        <v>0.30666666666666664</v>
      </c>
      <c r="F48" t="str" cm="1">
        <f t="array" ref="F48">_xlfn.IFS(
 E48&lt;=0.2,"High Value",
 E48&lt;=0.6,"Medium Value",
 TRUE,"Low Value"
)</f>
        <v>Medium Value</v>
      </c>
    </row>
    <row r="49" spans="1:6" x14ac:dyDescent="0.25">
      <c r="A49" t="s">
        <v>683</v>
      </c>
      <c r="B49">
        <v>2522</v>
      </c>
      <c r="C49">
        <f t="shared" si="0"/>
        <v>279</v>
      </c>
      <c r="D49" s="12">
        <f t="shared" si="1"/>
        <v>3</v>
      </c>
      <c r="E49" s="8">
        <f t="shared" si="2"/>
        <v>0.93</v>
      </c>
      <c r="F49" t="str" cm="1">
        <f t="array" ref="F49">_xlfn.IFS(
 E49&lt;=0.2,"High Value",
 E49&lt;=0.6,"Medium Value",
 TRUE,"Low Value"
)</f>
        <v>Low Value</v>
      </c>
    </row>
    <row r="50" spans="1:6" x14ac:dyDescent="0.25">
      <c r="A50" t="s">
        <v>298</v>
      </c>
      <c r="B50">
        <v>22811</v>
      </c>
      <c r="C50">
        <f t="shared" si="0"/>
        <v>10</v>
      </c>
      <c r="D50" s="12">
        <f t="shared" si="1"/>
        <v>1</v>
      </c>
      <c r="E50" s="8">
        <f t="shared" si="2"/>
        <v>3.3333333333333333E-2</v>
      </c>
      <c r="F50" t="str" cm="1">
        <f t="array" ref="F50">_xlfn.IFS(
 E50&lt;=0.2,"High Value",
 E50&lt;=0.6,"Medium Value",
 TRUE,"Low Value"
)</f>
        <v>High Value</v>
      </c>
    </row>
    <row r="51" spans="1:6" x14ac:dyDescent="0.25">
      <c r="A51" t="s">
        <v>456</v>
      </c>
      <c r="B51">
        <v>8424</v>
      </c>
      <c r="C51">
        <f t="shared" si="0"/>
        <v>173</v>
      </c>
      <c r="D51" s="12">
        <f t="shared" si="1"/>
        <v>2</v>
      </c>
      <c r="E51" s="8">
        <f t="shared" si="2"/>
        <v>0.57666666666666666</v>
      </c>
      <c r="F51" t="str" cm="1">
        <f t="array" ref="F51">_xlfn.IFS(
 E51&lt;=0.2,"High Value",
 E51&lt;=0.6,"Medium Value",
 TRUE,"Low Value"
)</f>
        <v>Medium Value</v>
      </c>
    </row>
    <row r="52" spans="1:6" x14ac:dyDescent="0.25">
      <c r="A52" t="s">
        <v>864</v>
      </c>
      <c r="B52">
        <v>5258</v>
      </c>
      <c r="C52">
        <f t="shared" si="0"/>
        <v>236</v>
      </c>
      <c r="D52" s="12">
        <f t="shared" si="1"/>
        <v>3</v>
      </c>
      <c r="E52" s="8">
        <f t="shared" si="2"/>
        <v>0.78666666666666663</v>
      </c>
      <c r="F52" t="str" cm="1">
        <f t="array" ref="F52">_xlfn.IFS(
 E52&lt;=0.2,"High Value",
 E52&lt;=0.6,"Medium Value",
 TRUE,"Low Value"
)</f>
        <v>Low Value</v>
      </c>
    </row>
    <row r="53" spans="1:6" x14ac:dyDescent="0.25">
      <c r="A53" t="s">
        <v>1426</v>
      </c>
      <c r="B53">
        <v>5312</v>
      </c>
      <c r="C53">
        <f t="shared" si="0"/>
        <v>233</v>
      </c>
      <c r="D53" s="12">
        <f t="shared" si="1"/>
        <v>3</v>
      </c>
      <c r="E53" s="8">
        <f t="shared" si="2"/>
        <v>0.77666666666666662</v>
      </c>
      <c r="F53" t="str" cm="1">
        <f t="array" ref="F53">_xlfn.IFS(
 E53&lt;=0.2,"High Value",
 E53&lt;=0.6,"Medium Value",
 TRUE,"Low Value"
)</f>
        <v>Low Value</v>
      </c>
    </row>
    <row r="54" spans="1:6" x14ac:dyDescent="0.25">
      <c r="A54" t="s">
        <v>1000</v>
      </c>
      <c r="B54">
        <v>6010</v>
      </c>
      <c r="C54">
        <f t="shared" si="0"/>
        <v>215</v>
      </c>
      <c r="D54" s="12">
        <f t="shared" si="1"/>
        <v>3</v>
      </c>
      <c r="E54" s="8">
        <f t="shared" si="2"/>
        <v>0.71666666666666667</v>
      </c>
      <c r="F54" t="str" cm="1">
        <f t="array" ref="F54">_xlfn.IFS(
 E54&lt;=0.2,"High Value",
 E54&lt;=0.6,"Medium Value",
 TRUE,"Low Value"
)</f>
        <v>Low Value</v>
      </c>
    </row>
    <row r="55" spans="1:6" x14ac:dyDescent="0.25">
      <c r="A55" t="s">
        <v>769</v>
      </c>
      <c r="B55">
        <v>1757</v>
      </c>
      <c r="C55">
        <f t="shared" si="0"/>
        <v>290</v>
      </c>
      <c r="D55" s="12">
        <f t="shared" si="1"/>
        <v>3</v>
      </c>
      <c r="E55" s="8">
        <f t="shared" si="2"/>
        <v>0.96666666666666667</v>
      </c>
      <c r="F55" t="str" cm="1">
        <f t="array" ref="F55">_xlfn.IFS(
 E55&lt;=0.2,"High Value",
 E55&lt;=0.6,"Medium Value",
 TRUE,"Low Value"
)</f>
        <v>Low Value</v>
      </c>
    </row>
    <row r="56" spans="1:6" x14ac:dyDescent="0.25">
      <c r="A56" t="s">
        <v>309</v>
      </c>
      <c r="B56">
        <v>3992</v>
      </c>
      <c r="C56">
        <f t="shared" si="0"/>
        <v>262</v>
      </c>
      <c r="D56" s="12">
        <f t="shared" si="1"/>
        <v>3</v>
      </c>
      <c r="E56" s="8">
        <f t="shared" si="2"/>
        <v>0.87333333333333329</v>
      </c>
      <c r="F56" t="str" cm="1">
        <f t="array" ref="F56">_xlfn.IFS(
 E56&lt;=0.2,"High Value",
 E56&lt;=0.6,"Medium Value",
 TRUE,"Low Value"
)</f>
        <v>Low Value</v>
      </c>
    </row>
    <row r="57" spans="1:6" x14ac:dyDescent="0.25">
      <c r="A57" t="s">
        <v>223</v>
      </c>
      <c r="B57">
        <v>8280</v>
      </c>
      <c r="C57">
        <f t="shared" si="0"/>
        <v>178</v>
      </c>
      <c r="D57" s="12">
        <f t="shared" si="1"/>
        <v>2</v>
      </c>
      <c r="E57" s="8">
        <f t="shared" si="2"/>
        <v>0.59333333333333338</v>
      </c>
      <c r="F57" t="str" cm="1">
        <f t="array" ref="F57">_xlfn.IFS(
 E57&lt;=0.2,"High Value",
 E57&lt;=0.6,"Medium Value",
 TRUE,"Low Value"
)</f>
        <v>Medium Value</v>
      </c>
    </row>
    <row r="58" spans="1:6" x14ac:dyDescent="0.25">
      <c r="A58" t="s">
        <v>104</v>
      </c>
      <c r="B58">
        <v>17760</v>
      </c>
      <c r="C58">
        <f t="shared" si="0"/>
        <v>28</v>
      </c>
      <c r="D58" s="12">
        <f t="shared" si="1"/>
        <v>1</v>
      </c>
      <c r="E58" s="8">
        <f t="shared" si="2"/>
        <v>9.3333333333333338E-2</v>
      </c>
      <c r="F58" t="str" cm="1">
        <f t="array" ref="F58">_xlfn.IFS(
 E58&lt;=0.2,"High Value",
 E58&lt;=0.6,"Medium Value",
 TRUE,"Low Value"
)</f>
        <v>High Value</v>
      </c>
    </row>
    <row r="59" spans="1:6" x14ac:dyDescent="0.25">
      <c r="A59" t="s">
        <v>373</v>
      </c>
      <c r="B59">
        <v>7120</v>
      </c>
      <c r="C59">
        <f t="shared" si="0"/>
        <v>199</v>
      </c>
      <c r="D59" s="12">
        <f t="shared" si="1"/>
        <v>3</v>
      </c>
      <c r="E59" s="8">
        <f t="shared" si="2"/>
        <v>0.66333333333333333</v>
      </c>
      <c r="F59" t="str" cm="1">
        <f t="array" ref="F59">_xlfn.IFS(
 E59&lt;=0.2,"High Value",
 E59&lt;=0.6,"Medium Value",
 TRUE,"Low Value"
)</f>
        <v>Low Value</v>
      </c>
    </row>
    <row r="60" spans="1:6" x14ac:dyDescent="0.25">
      <c r="A60" t="s">
        <v>1114</v>
      </c>
      <c r="B60">
        <v>7503</v>
      </c>
      <c r="C60">
        <f t="shared" si="0"/>
        <v>191</v>
      </c>
      <c r="D60" s="12">
        <f t="shared" si="1"/>
        <v>3</v>
      </c>
      <c r="E60" s="8">
        <f t="shared" si="2"/>
        <v>0.63666666666666671</v>
      </c>
      <c r="F60" t="str" cm="1">
        <f t="array" ref="F60">_xlfn.IFS(
 E60&lt;=0.2,"High Value",
 E60&lt;=0.6,"Medium Value",
 TRUE,"Low Value"
)</f>
        <v>Low Value</v>
      </c>
    </row>
    <row r="61" spans="1:6" x14ac:dyDescent="0.25">
      <c r="A61" t="s">
        <v>88</v>
      </c>
      <c r="B61">
        <v>9308</v>
      </c>
      <c r="C61">
        <f t="shared" si="0"/>
        <v>154</v>
      </c>
      <c r="D61" s="12">
        <f t="shared" si="1"/>
        <v>2</v>
      </c>
      <c r="E61" s="8">
        <f t="shared" si="2"/>
        <v>0.51333333333333331</v>
      </c>
      <c r="F61" t="str" cm="1">
        <f t="array" ref="F61">_xlfn.IFS(
 E61&lt;=0.2,"High Value",
 E61&lt;=0.6,"Medium Value",
 TRUE,"Low Value"
)</f>
        <v>Medium Value</v>
      </c>
    </row>
    <row r="62" spans="1:6" x14ac:dyDescent="0.25">
      <c r="A62" t="s">
        <v>1066</v>
      </c>
      <c r="B62">
        <v>4245</v>
      </c>
      <c r="C62">
        <f t="shared" si="0"/>
        <v>256</v>
      </c>
      <c r="D62" s="12">
        <f t="shared" si="1"/>
        <v>3</v>
      </c>
      <c r="E62" s="8">
        <f t="shared" si="2"/>
        <v>0.85333333333333339</v>
      </c>
      <c r="F62" t="str" cm="1">
        <f t="array" ref="F62">_xlfn.IFS(
 E62&lt;=0.2,"High Value",
 E62&lt;=0.6,"Medium Value",
 TRUE,"Low Value"
)</f>
        <v>Low Value</v>
      </c>
    </row>
    <row r="63" spans="1:6" x14ac:dyDescent="0.25">
      <c r="A63" t="s">
        <v>938</v>
      </c>
      <c r="B63">
        <v>13550</v>
      </c>
      <c r="C63">
        <f t="shared" si="0"/>
        <v>68</v>
      </c>
      <c r="D63" s="12">
        <f t="shared" si="1"/>
        <v>2</v>
      </c>
      <c r="E63" s="8">
        <f t="shared" si="2"/>
        <v>0.22666666666666666</v>
      </c>
      <c r="F63" t="str" cm="1">
        <f t="array" ref="F63">_xlfn.IFS(
 E63&lt;=0.2,"High Value",
 E63&lt;=0.6,"Medium Value",
 TRUE,"Low Value"
)</f>
        <v>Medium Value</v>
      </c>
    </row>
    <row r="64" spans="1:6" x14ac:dyDescent="0.25">
      <c r="A64" t="s">
        <v>429</v>
      </c>
      <c r="B64">
        <v>8679</v>
      </c>
      <c r="C64">
        <f t="shared" si="0"/>
        <v>165</v>
      </c>
      <c r="D64" s="12">
        <f t="shared" si="1"/>
        <v>2</v>
      </c>
      <c r="E64" s="8">
        <f t="shared" si="2"/>
        <v>0.55000000000000004</v>
      </c>
      <c r="F64" t="str" cm="1">
        <f t="array" ref="F64">_xlfn.IFS(
 E64&lt;=0.2,"High Value",
 E64&lt;=0.6,"Medium Value",
 TRUE,"Low Value"
)</f>
        <v>Medium Value</v>
      </c>
    </row>
    <row r="65" spans="1:6" x14ac:dyDescent="0.25">
      <c r="A65" t="s">
        <v>1075</v>
      </c>
      <c r="B65">
        <v>294</v>
      </c>
      <c r="C65">
        <f t="shared" si="0"/>
        <v>300</v>
      </c>
      <c r="D65" s="12">
        <f t="shared" si="1"/>
        <v>3</v>
      </c>
      <c r="E65" s="8">
        <f t="shared" si="2"/>
        <v>1</v>
      </c>
      <c r="F65" t="str" cm="1">
        <f t="array" ref="F65">_xlfn.IFS(
 E65&lt;=0.2,"High Value",
 E65&lt;=0.6,"Medium Value",
 TRUE,"Low Value"
)</f>
        <v>Low Value</v>
      </c>
    </row>
    <row r="66" spans="1:6" x14ac:dyDescent="0.25">
      <c r="A66" t="s">
        <v>437</v>
      </c>
      <c r="B66">
        <v>6497</v>
      </c>
      <c r="C66">
        <f t="shared" si="0"/>
        <v>209</v>
      </c>
      <c r="D66" s="12">
        <f t="shared" si="1"/>
        <v>3</v>
      </c>
      <c r="E66" s="8">
        <f t="shared" si="2"/>
        <v>0.69666666666666666</v>
      </c>
      <c r="F66" t="str" cm="1">
        <f t="array" ref="F66">_xlfn.IFS(
 E66&lt;=0.2,"High Value",
 E66&lt;=0.6,"Medium Value",
 TRUE,"Low Value"
)</f>
        <v>Low Value</v>
      </c>
    </row>
    <row r="67" spans="1:6" x14ac:dyDescent="0.25">
      <c r="A67" t="s">
        <v>1023</v>
      </c>
      <c r="B67">
        <v>5446</v>
      </c>
      <c r="C67">
        <f t="shared" ref="C67:C130" si="3">_xlfn.RANK.EQ(B67,$B$3:$B$302)</f>
        <v>232</v>
      </c>
      <c r="D67" s="12">
        <f t="shared" ref="D67:D130" si="4">IF(E67&lt;=0.2,1,IF(E67&lt;=0.6,2,3))</f>
        <v>3</v>
      </c>
      <c r="E67" s="8">
        <f t="shared" si="2"/>
        <v>0.77333333333333332</v>
      </c>
      <c r="F67" t="str" cm="1">
        <f t="array" ref="F67">_xlfn.IFS(
 E67&lt;=0.2,"High Value",
 E67&lt;=0.6,"Medium Value",
 TRUE,"Low Value"
)</f>
        <v>Low Value</v>
      </c>
    </row>
    <row r="68" spans="1:6" x14ac:dyDescent="0.25">
      <c r="A68" t="s">
        <v>59</v>
      </c>
      <c r="B68">
        <v>5162</v>
      </c>
      <c r="C68">
        <f t="shared" si="3"/>
        <v>237</v>
      </c>
      <c r="D68" s="12">
        <f t="shared" si="4"/>
        <v>3</v>
      </c>
      <c r="E68" s="8">
        <f t="shared" ref="E68:E131" si="5">_xlfn.RANK.EQ(B68,$B$3:$B$302)/COUNT($B$3:$B$302)</f>
        <v>0.79</v>
      </c>
      <c r="F68" t="str" cm="1">
        <f t="array" ref="F68">_xlfn.IFS(
 E68&lt;=0.2,"High Value",
 E68&lt;=0.6,"Medium Value",
 TRUE,"Low Value"
)</f>
        <v>Low Value</v>
      </c>
    </row>
    <row r="69" spans="1:6" x14ac:dyDescent="0.25">
      <c r="A69" t="s">
        <v>221</v>
      </c>
      <c r="B69">
        <v>5488</v>
      </c>
      <c r="C69">
        <f t="shared" si="3"/>
        <v>231</v>
      </c>
      <c r="D69" s="12">
        <f t="shared" si="4"/>
        <v>3</v>
      </c>
      <c r="E69" s="8">
        <f t="shared" si="5"/>
        <v>0.77</v>
      </c>
      <c r="F69" t="str" cm="1">
        <f t="array" ref="F69">_xlfn.IFS(
 E69&lt;=0.2,"High Value",
 E69&lt;=0.6,"Medium Value",
 TRUE,"Low Value"
)</f>
        <v>Low Value</v>
      </c>
    </row>
    <row r="70" spans="1:6" x14ac:dyDescent="0.25">
      <c r="A70" t="s">
        <v>232</v>
      </c>
      <c r="B70">
        <v>11156</v>
      </c>
      <c r="C70">
        <f t="shared" si="3"/>
        <v>102</v>
      </c>
      <c r="D70" s="12">
        <f t="shared" si="4"/>
        <v>2</v>
      </c>
      <c r="E70" s="8">
        <f t="shared" si="5"/>
        <v>0.34</v>
      </c>
      <c r="F70" t="str" cm="1">
        <f t="array" ref="F70">_xlfn.IFS(
 E70&lt;=0.2,"High Value",
 E70&lt;=0.6,"Medium Value",
 TRUE,"Low Value"
)</f>
        <v>Medium Value</v>
      </c>
    </row>
    <row r="71" spans="1:6" x14ac:dyDescent="0.25">
      <c r="A71" t="s">
        <v>490</v>
      </c>
      <c r="B71">
        <v>5118</v>
      </c>
      <c r="C71">
        <f t="shared" si="3"/>
        <v>240</v>
      </c>
      <c r="D71" s="12">
        <f t="shared" si="4"/>
        <v>3</v>
      </c>
      <c r="E71" s="8">
        <f t="shared" si="5"/>
        <v>0.8</v>
      </c>
      <c r="F71" t="str" cm="1">
        <f t="array" ref="F71">_xlfn.IFS(
 E71&lt;=0.2,"High Value",
 E71&lt;=0.6,"Medium Value",
 TRUE,"Low Value"
)</f>
        <v>Low Value</v>
      </c>
    </row>
    <row r="72" spans="1:6" x14ac:dyDescent="0.25">
      <c r="A72" t="s">
        <v>657</v>
      </c>
      <c r="B72">
        <v>6956</v>
      </c>
      <c r="C72">
        <f t="shared" si="3"/>
        <v>202</v>
      </c>
      <c r="D72" s="12">
        <f t="shared" si="4"/>
        <v>3</v>
      </c>
      <c r="E72" s="8">
        <f t="shared" si="5"/>
        <v>0.67333333333333334</v>
      </c>
      <c r="F72" t="str" cm="1">
        <f t="array" ref="F72">_xlfn.IFS(
 E72&lt;=0.2,"High Value",
 E72&lt;=0.6,"Medium Value",
 TRUE,"Low Value"
)</f>
        <v>Low Value</v>
      </c>
    </row>
    <row r="73" spans="1:6" x14ac:dyDescent="0.25">
      <c r="A73" t="s">
        <v>315</v>
      </c>
      <c r="B73">
        <v>15228</v>
      </c>
      <c r="C73">
        <f t="shared" si="3"/>
        <v>47</v>
      </c>
      <c r="D73" s="12">
        <f t="shared" si="4"/>
        <v>1</v>
      </c>
      <c r="E73" s="8">
        <f t="shared" si="5"/>
        <v>0.15666666666666668</v>
      </c>
      <c r="F73" t="str" cm="1">
        <f t="array" ref="F73">_xlfn.IFS(
 E73&lt;=0.2,"High Value",
 E73&lt;=0.6,"Medium Value",
 TRUE,"Low Value"
)</f>
        <v>High Value</v>
      </c>
    </row>
    <row r="74" spans="1:6" x14ac:dyDescent="0.25">
      <c r="A74" t="s">
        <v>452</v>
      </c>
      <c r="B74">
        <v>4985</v>
      </c>
      <c r="C74">
        <f t="shared" si="3"/>
        <v>243</v>
      </c>
      <c r="D74" s="12">
        <f t="shared" si="4"/>
        <v>3</v>
      </c>
      <c r="E74" s="8">
        <f t="shared" si="5"/>
        <v>0.81</v>
      </c>
      <c r="F74" t="str" cm="1">
        <f t="array" ref="F74">_xlfn.IFS(
 E74&lt;=0.2,"High Value",
 E74&lt;=0.6,"Medium Value",
 TRUE,"Low Value"
)</f>
        <v>Low Value</v>
      </c>
    </row>
    <row r="75" spans="1:6" x14ac:dyDescent="0.25">
      <c r="A75" t="s">
        <v>173</v>
      </c>
      <c r="B75">
        <v>8299</v>
      </c>
      <c r="C75">
        <f t="shared" si="3"/>
        <v>177</v>
      </c>
      <c r="D75" s="12">
        <f t="shared" si="4"/>
        <v>2</v>
      </c>
      <c r="E75" s="8">
        <f t="shared" si="5"/>
        <v>0.59</v>
      </c>
      <c r="F75" t="str" cm="1">
        <f t="array" ref="F75">_xlfn.IFS(
 E75&lt;=0.2,"High Value",
 E75&lt;=0.6,"Medium Value",
 TRUE,"Low Value"
)</f>
        <v>Medium Value</v>
      </c>
    </row>
    <row r="76" spans="1:6" x14ac:dyDescent="0.25">
      <c r="A76" t="s">
        <v>1158</v>
      </c>
      <c r="B76">
        <v>4181</v>
      </c>
      <c r="C76">
        <f t="shared" si="3"/>
        <v>258</v>
      </c>
      <c r="D76" s="12">
        <f t="shared" si="4"/>
        <v>3</v>
      </c>
      <c r="E76" s="8">
        <f t="shared" si="5"/>
        <v>0.86</v>
      </c>
      <c r="F76" t="str" cm="1">
        <f t="array" ref="F76">_xlfn.IFS(
 E76&lt;=0.2,"High Value",
 E76&lt;=0.6,"Medium Value",
 TRUE,"Low Value"
)</f>
        <v>Low Value</v>
      </c>
    </row>
    <row r="77" spans="1:6" x14ac:dyDescent="0.25">
      <c r="A77" t="s">
        <v>177</v>
      </c>
      <c r="B77">
        <v>17261</v>
      </c>
      <c r="C77">
        <f t="shared" si="3"/>
        <v>32</v>
      </c>
      <c r="D77" s="12">
        <f t="shared" si="4"/>
        <v>1</v>
      </c>
      <c r="E77" s="8">
        <f t="shared" si="5"/>
        <v>0.10666666666666667</v>
      </c>
      <c r="F77" t="str" cm="1">
        <f t="array" ref="F77">_xlfn.IFS(
 E77&lt;=0.2,"High Value",
 E77&lt;=0.6,"Medium Value",
 TRUE,"Low Value"
)</f>
        <v>High Value</v>
      </c>
    </row>
    <row r="78" spans="1:6" x14ac:dyDescent="0.25">
      <c r="A78" t="s">
        <v>473</v>
      </c>
      <c r="B78">
        <v>14447</v>
      </c>
      <c r="C78">
        <f t="shared" si="3"/>
        <v>56</v>
      </c>
      <c r="D78" s="12">
        <f t="shared" si="4"/>
        <v>1</v>
      </c>
      <c r="E78" s="8">
        <f t="shared" si="5"/>
        <v>0.18666666666666668</v>
      </c>
      <c r="F78" t="str" cm="1">
        <f t="array" ref="F78">_xlfn.IFS(
 E78&lt;=0.2,"High Value",
 E78&lt;=0.6,"Medium Value",
 TRUE,"Low Value"
)</f>
        <v>High Value</v>
      </c>
    </row>
    <row r="79" spans="1:6" x14ac:dyDescent="0.25">
      <c r="A79" t="s">
        <v>1347</v>
      </c>
      <c r="B79">
        <v>2072</v>
      </c>
      <c r="C79">
        <f t="shared" si="3"/>
        <v>286</v>
      </c>
      <c r="D79" s="12">
        <f t="shared" si="4"/>
        <v>3</v>
      </c>
      <c r="E79" s="8">
        <f t="shared" si="5"/>
        <v>0.95333333333333337</v>
      </c>
      <c r="F79" t="str" cm="1">
        <f t="array" ref="F79">_xlfn.IFS(
 E79&lt;=0.2,"High Value",
 E79&lt;=0.6,"Medium Value",
 TRUE,"Low Value"
)</f>
        <v>Low Value</v>
      </c>
    </row>
    <row r="80" spans="1:6" x14ac:dyDescent="0.25">
      <c r="A80" t="s">
        <v>594</v>
      </c>
      <c r="B80">
        <v>9987</v>
      </c>
      <c r="C80">
        <f t="shared" si="3"/>
        <v>131</v>
      </c>
      <c r="D80" s="12">
        <f t="shared" si="4"/>
        <v>2</v>
      </c>
      <c r="E80" s="8">
        <f t="shared" si="5"/>
        <v>0.43666666666666665</v>
      </c>
      <c r="F80" t="str" cm="1">
        <f t="array" ref="F80">_xlfn.IFS(
 E80&lt;=0.2,"High Value",
 E80&lt;=0.6,"Medium Value",
 TRUE,"Low Value"
)</f>
        <v>Medium Value</v>
      </c>
    </row>
    <row r="81" spans="1:6" x14ac:dyDescent="0.25">
      <c r="A81" t="s">
        <v>420</v>
      </c>
      <c r="B81">
        <v>10375</v>
      </c>
      <c r="C81">
        <f t="shared" si="3"/>
        <v>118</v>
      </c>
      <c r="D81" s="12">
        <f t="shared" si="4"/>
        <v>2</v>
      </c>
      <c r="E81" s="8">
        <f t="shared" si="5"/>
        <v>0.39333333333333331</v>
      </c>
      <c r="F81" t="str" cm="1">
        <f t="array" ref="F81">_xlfn.IFS(
 E81&lt;=0.2,"High Value",
 E81&lt;=0.6,"Medium Value",
 TRUE,"Low Value"
)</f>
        <v>Medium Value</v>
      </c>
    </row>
    <row r="82" spans="1:6" x14ac:dyDescent="0.25">
      <c r="A82" t="s">
        <v>553</v>
      </c>
      <c r="B82">
        <v>12685</v>
      </c>
      <c r="C82">
        <f t="shared" si="3"/>
        <v>86</v>
      </c>
      <c r="D82" s="12">
        <f t="shared" si="4"/>
        <v>2</v>
      </c>
      <c r="E82" s="8">
        <f t="shared" si="5"/>
        <v>0.28666666666666668</v>
      </c>
      <c r="F82" t="str" cm="1">
        <f t="array" ref="F82">_xlfn.IFS(
 E82&lt;=0.2,"High Value",
 E82&lt;=0.6,"Medium Value",
 TRUE,"Low Value"
)</f>
        <v>Medium Value</v>
      </c>
    </row>
    <row r="83" spans="1:6" x14ac:dyDescent="0.25">
      <c r="A83" t="s">
        <v>396</v>
      </c>
      <c r="B83">
        <v>10763</v>
      </c>
      <c r="C83">
        <f t="shared" si="3"/>
        <v>111</v>
      </c>
      <c r="D83" s="12">
        <f t="shared" si="4"/>
        <v>2</v>
      </c>
      <c r="E83" s="8">
        <f t="shared" si="5"/>
        <v>0.37</v>
      </c>
      <c r="F83" t="str" cm="1">
        <f t="array" ref="F83">_xlfn.IFS(
 E83&lt;=0.2,"High Value",
 E83&lt;=0.6,"Medium Value",
 TRUE,"Low Value"
)</f>
        <v>Medium Value</v>
      </c>
    </row>
    <row r="84" spans="1:6" x14ac:dyDescent="0.25">
      <c r="A84" t="s">
        <v>881</v>
      </c>
      <c r="B84">
        <v>2064</v>
      </c>
      <c r="C84">
        <f t="shared" si="3"/>
        <v>287</v>
      </c>
      <c r="D84" s="12">
        <f t="shared" si="4"/>
        <v>3</v>
      </c>
      <c r="E84" s="8">
        <f t="shared" si="5"/>
        <v>0.95666666666666667</v>
      </c>
      <c r="F84" t="str" cm="1">
        <f t="array" ref="F84">_xlfn.IFS(
 E84&lt;=0.2,"High Value",
 E84&lt;=0.6,"Medium Value",
 TRUE,"Low Value"
)</f>
        <v>Low Value</v>
      </c>
    </row>
    <row r="85" spans="1:6" x14ac:dyDescent="0.25">
      <c r="A85" t="s">
        <v>761</v>
      </c>
      <c r="B85">
        <v>9327</v>
      </c>
      <c r="C85">
        <f t="shared" si="3"/>
        <v>151</v>
      </c>
      <c r="D85" s="12">
        <f t="shared" si="4"/>
        <v>2</v>
      </c>
      <c r="E85" s="8">
        <f t="shared" si="5"/>
        <v>0.5033333333333333</v>
      </c>
      <c r="F85" t="str" cm="1">
        <f t="array" ref="F85">_xlfn.IFS(
 E85&lt;=0.2,"High Value",
 E85&lt;=0.6,"Medium Value",
 TRUE,"Low Value"
)</f>
        <v>Medium Value</v>
      </c>
    </row>
    <row r="86" spans="1:6" x14ac:dyDescent="0.25">
      <c r="A86" t="s">
        <v>439</v>
      </c>
      <c r="B86">
        <v>5904</v>
      </c>
      <c r="C86">
        <f t="shared" si="3"/>
        <v>218</v>
      </c>
      <c r="D86" s="12">
        <f t="shared" si="4"/>
        <v>3</v>
      </c>
      <c r="E86" s="8">
        <f t="shared" si="5"/>
        <v>0.72666666666666668</v>
      </c>
      <c r="F86" t="str" cm="1">
        <f t="array" ref="F86">_xlfn.IFS(
 E86&lt;=0.2,"High Value",
 E86&lt;=0.6,"Medium Value",
 TRUE,"Low Value"
)</f>
        <v>Low Value</v>
      </c>
    </row>
    <row r="87" spans="1:6" x14ac:dyDescent="0.25">
      <c r="A87" t="s">
        <v>334</v>
      </c>
      <c r="B87">
        <v>1644</v>
      </c>
      <c r="C87">
        <f t="shared" si="3"/>
        <v>291</v>
      </c>
      <c r="D87" s="12">
        <f t="shared" si="4"/>
        <v>3</v>
      </c>
      <c r="E87" s="8">
        <f t="shared" si="5"/>
        <v>0.97</v>
      </c>
      <c r="F87" t="str" cm="1">
        <f t="array" ref="F87">_xlfn.IFS(
 E87&lt;=0.2,"High Value",
 E87&lt;=0.6,"Medium Value",
 TRUE,"Low Value"
)</f>
        <v>Low Value</v>
      </c>
    </row>
    <row r="88" spans="1:6" x14ac:dyDescent="0.25">
      <c r="A88" t="s">
        <v>282</v>
      </c>
      <c r="B88">
        <v>20453</v>
      </c>
      <c r="C88">
        <f t="shared" si="3"/>
        <v>20</v>
      </c>
      <c r="D88" s="12">
        <f t="shared" si="4"/>
        <v>1</v>
      </c>
      <c r="E88" s="8">
        <f t="shared" si="5"/>
        <v>6.6666666666666666E-2</v>
      </c>
      <c r="F88" t="str" cm="1">
        <f t="array" ref="F88">_xlfn.IFS(
 E88&lt;=0.2,"High Value",
 E88&lt;=0.6,"Medium Value",
 TRUE,"Low Value"
)</f>
        <v>High Value</v>
      </c>
    </row>
    <row r="89" spans="1:6" x14ac:dyDescent="0.25">
      <c r="A89" t="s">
        <v>356</v>
      </c>
      <c r="B89">
        <v>11996</v>
      </c>
      <c r="C89">
        <f t="shared" si="3"/>
        <v>95</v>
      </c>
      <c r="D89" s="12">
        <f t="shared" si="4"/>
        <v>2</v>
      </c>
      <c r="E89" s="8">
        <f t="shared" si="5"/>
        <v>0.31666666666666665</v>
      </c>
      <c r="F89" t="str" cm="1">
        <f t="array" ref="F89">_xlfn.IFS(
 E89&lt;=0.2,"High Value",
 E89&lt;=0.6,"Medium Value",
 TRUE,"Low Value"
)</f>
        <v>Medium Value</v>
      </c>
    </row>
    <row r="90" spans="1:6" x14ac:dyDescent="0.25">
      <c r="A90" t="s">
        <v>836</v>
      </c>
      <c r="B90">
        <v>12175</v>
      </c>
      <c r="C90">
        <f t="shared" si="3"/>
        <v>93</v>
      </c>
      <c r="D90" s="12">
        <f t="shared" si="4"/>
        <v>2</v>
      </c>
      <c r="E90" s="8">
        <f t="shared" si="5"/>
        <v>0.31</v>
      </c>
      <c r="F90" t="str" cm="1">
        <f t="array" ref="F90">_xlfn.IFS(
 E90&lt;=0.2,"High Value",
 E90&lt;=0.6,"Medium Value",
 TRUE,"Low Value"
)</f>
        <v>Medium Value</v>
      </c>
    </row>
    <row r="91" spans="1:6" x14ac:dyDescent="0.25">
      <c r="A91" t="s">
        <v>211</v>
      </c>
      <c r="B91">
        <v>14353</v>
      </c>
      <c r="C91">
        <f t="shared" si="3"/>
        <v>58</v>
      </c>
      <c r="D91" s="12">
        <f t="shared" si="4"/>
        <v>1</v>
      </c>
      <c r="E91" s="8">
        <f t="shared" si="5"/>
        <v>0.19333333333333333</v>
      </c>
      <c r="F91" t="str" cm="1">
        <f t="array" ref="F91">_xlfn.IFS(
 E91&lt;=0.2,"High Value",
 E91&lt;=0.6,"Medium Value",
 TRUE,"Low Value"
)</f>
        <v>High Value</v>
      </c>
    </row>
    <row r="92" spans="1:6" x14ac:dyDescent="0.25">
      <c r="A92" t="s">
        <v>189</v>
      </c>
      <c r="B92">
        <v>8322</v>
      </c>
      <c r="C92">
        <f t="shared" si="3"/>
        <v>176</v>
      </c>
      <c r="D92" s="12">
        <f t="shared" si="4"/>
        <v>2</v>
      </c>
      <c r="E92" s="8">
        <f t="shared" si="5"/>
        <v>0.58666666666666667</v>
      </c>
      <c r="F92" t="str" cm="1">
        <f t="array" ref="F92">_xlfn.IFS(
 E92&lt;=0.2,"High Value",
 E92&lt;=0.6,"Medium Value",
 TRUE,"Low Value"
)</f>
        <v>Medium Value</v>
      </c>
    </row>
    <row r="93" spans="1:6" x14ac:dyDescent="0.25">
      <c r="A93" t="s">
        <v>839</v>
      </c>
      <c r="B93">
        <v>11286</v>
      </c>
      <c r="C93">
        <f t="shared" si="3"/>
        <v>101</v>
      </c>
      <c r="D93" s="12">
        <f t="shared" si="4"/>
        <v>2</v>
      </c>
      <c r="E93" s="8">
        <f t="shared" si="5"/>
        <v>0.33666666666666667</v>
      </c>
      <c r="F93" t="str" cm="1">
        <f t="array" ref="F93">_xlfn.IFS(
 E93&lt;=0.2,"High Value",
 E93&lt;=0.6,"Medium Value",
 TRUE,"Low Value"
)</f>
        <v>Medium Value</v>
      </c>
    </row>
    <row r="94" spans="1:6" x14ac:dyDescent="0.25">
      <c r="A94" t="s">
        <v>286</v>
      </c>
      <c r="B94">
        <v>14261</v>
      </c>
      <c r="C94">
        <f t="shared" si="3"/>
        <v>60</v>
      </c>
      <c r="D94" s="12">
        <f t="shared" si="4"/>
        <v>1</v>
      </c>
      <c r="E94" s="8">
        <f t="shared" si="5"/>
        <v>0.2</v>
      </c>
      <c r="F94" t="str" cm="1">
        <f t="array" ref="F94">_xlfn.IFS(
 E94&lt;=0.2,"High Value",
 E94&lt;=0.6,"Medium Value",
 TRUE,"Low Value"
)</f>
        <v>High Value</v>
      </c>
    </row>
    <row r="95" spans="1:6" x14ac:dyDescent="0.25">
      <c r="A95" t="s">
        <v>154</v>
      </c>
      <c r="B95">
        <v>15359</v>
      </c>
      <c r="C95">
        <f t="shared" si="3"/>
        <v>46</v>
      </c>
      <c r="D95" s="12">
        <f t="shared" si="4"/>
        <v>1</v>
      </c>
      <c r="E95" s="8">
        <f t="shared" si="5"/>
        <v>0.15333333333333332</v>
      </c>
      <c r="F95" t="str" cm="1">
        <f t="array" ref="F95">_xlfn.IFS(
 E95&lt;=0.2,"High Value",
 E95&lt;=0.6,"Medium Value",
 TRUE,"Low Value"
)</f>
        <v>High Value</v>
      </c>
    </row>
    <row r="96" spans="1:6" x14ac:dyDescent="0.25">
      <c r="A96" t="s">
        <v>398</v>
      </c>
      <c r="B96">
        <v>11135</v>
      </c>
      <c r="C96">
        <f t="shared" si="3"/>
        <v>103</v>
      </c>
      <c r="D96" s="12">
        <f t="shared" si="4"/>
        <v>2</v>
      </c>
      <c r="E96" s="8">
        <f t="shared" si="5"/>
        <v>0.34333333333333332</v>
      </c>
      <c r="F96" t="str" cm="1">
        <f t="array" ref="F96">_xlfn.IFS(
 E96&lt;=0.2,"High Value",
 E96&lt;=0.6,"Medium Value",
 TRUE,"Low Value"
)</f>
        <v>Medium Value</v>
      </c>
    </row>
    <row r="97" spans="1:6" x14ac:dyDescent="0.25">
      <c r="A97" t="s">
        <v>90</v>
      </c>
      <c r="B97">
        <v>15220</v>
      </c>
      <c r="C97">
        <f t="shared" si="3"/>
        <v>48</v>
      </c>
      <c r="D97" s="12">
        <f t="shared" si="4"/>
        <v>1</v>
      </c>
      <c r="E97" s="8">
        <f t="shared" si="5"/>
        <v>0.16</v>
      </c>
      <c r="F97" t="str" cm="1">
        <f t="array" ref="F97">_xlfn.IFS(
 E97&lt;=0.2,"High Value",
 E97&lt;=0.6,"Medium Value",
 TRUE,"Low Value"
)</f>
        <v>High Value</v>
      </c>
    </row>
    <row r="98" spans="1:6" x14ac:dyDescent="0.25">
      <c r="A98" t="s">
        <v>294</v>
      </c>
      <c r="B98">
        <v>3504</v>
      </c>
      <c r="C98">
        <f t="shared" si="3"/>
        <v>269</v>
      </c>
      <c r="D98" s="12">
        <f t="shared" si="4"/>
        <v>3</v>
      </c>
      <c r="E98" s="8">
        <f t="shared" si="5"/>
        <v>0.89666666666666661</v>
      </c>
      <c r="F98" t="str" cm="1">
        <f t="array" ref="F98">_xlfn.IFS(
 E98&lt;=0.2,"High Value",
 E98&lt;=0.6,"Medium Value",
 TRUE,"Low Value"
)</f>
        <v>Low Value</v>
      </c>
    </row>
    <row r="99" spans="1:6" x14ac:dyDescent="0.25">
      <c r="A99" t="s">
        <v>1357</v>
      </c>
      <c r="B99">
        <v>10258</v>
      </c>
      <c r="C99">
        <f t="shared" si="3"/>
        <v>120</v>
      </c>
      <c r="D99" s="12">
        <f t="shared" si="4"/>
        <v>2</v>
      </c>
      <c r="E99" s="8">
        <f t="shared" si="5"/>
        <v>0.4</v>
      </c>
      <c r="F99" t="str" cm="1">
        <f t="array" ref="F99">_xlfn.IFS(
 E99&lt;=0.2,"High Value",
 E99&lt;=0.6,"Medium Value",
 TRUE,"Low Value"
)</f>
        <v>Medium Value</v>
      </c>
    </row>
    <row r="100" spans="1:6" x14ac:dyDescent="0.25">
      <c r="A100" t="s">
        <v>425</v>
      </c>
      <c r="B100">
        <v>4908</v>
      </c>
      <c r="C100">
        <f t="shared" si="3"/>
        <v>244</v>
      </c>
      <c r="D100" s="12">
        <f t="shared" si="4"/>
        <v>3</v>
      </c>
      <c r="E100" s="8">
        <f t="shared" si="5"/>
        <v>0.81333333333333335</v>
      </c>
      <c r="F100" t="str" cm="1">
        <f t="array" ref="F100">_xlfn.IFS(
 E100&lt;=0.2,"High Value",
 E100&lt;=0.6,"Medium Value",
 TRUE,"Low Value"
)</f>
        <v>Low Value</v>
      </c>
    </row>
    <row r="101" spans="1:6" x14ac:dyDescent="0.25">
      <c r="A101" t="s">
        <v>152</v>
      </c>
      <c r="B101">
        <v>7977</v>
      </c>
      <c r="C101">
        <f t="shared" si="3"/>
        <v>183</v>
      </c>
      <c r="D101" s="12">
        <f t="shared" si="4"/>
        <v>3</v>
      </c>
      <c r="E101" s="8">
        <f t="shared" si="5"/>
        <v>0.61</v>
      </c>
      <c r="F101" t="str" cm="1">
        <f t="array" ref="F101">_xlfn.IFS(
 E101&lt;=0.2,"High Value",
 E101&lt;=0.6,"Medium Value",
 TRUE,"Low Value"
)</f>
        <v>Low Value</v>
      </c>
    </row>
    <row r="102" spans="1:6" x14ac:dyDescent="0.25">
      <c r="A102" t="s">
        <v>216</v>
      </c>
      <c r="B102">
        <v>19532</v>
      </c>
      <c r="C102">
        <f t="shared" si="3"/>
        <v>23</v>
      </c>
      <c r="D102" s="12">
        <f t="shared" si="4"/>
        <v>1</v>
      </c>
      <c r="E102" s="8">
        <f t="shared" si="5"/>
        <v>7.6666666666666661E-2</v>
      </c>
      <c r="F102" t="str" cm="1">
        <f t="array" ref="F102">_xlfn.IFS(
 E102&lt;=0.2,"High Value",
 E102&lt;=0.6,"Medium Value",
 TRUE,"Low Value"
)</f>
        <v>High Value</v>
      </c>
    </row>
    <row r="103" spans="1:6" x14ac:dyDescent="0.25">
      <c r="A103" t="s">
        <v>737</v>
      </c>
      <c r="B103">
        <v>9881</v>
      </c>
      <c r="C103">
        <f t="shared" si="3"/>
        <v>136</v>
      </c>
      <c r="D103" s="12">
        <f t="shared" si="4"/>
        <v>2</v>
      </c>
      <c r="E103" s="8">
        <f t="shared" si="5"/>
        <v>0.45333333333333331</v>
      </c>
      <c r="F103" t="str" cm="1">
        <f t="array" ref="F103">_xlfn.IFS(
 E103&lt;=0.2,"High Value",
 E103&lt;=0.6,"Medium Value",
 TRUE,"Low Value"
)</f>
        <v>Medium Value</v>
      </c>
    </row>
    <row r="104" spans="1:6" x14ac:dyDescent="0.25">
      <c r="A104" t="s">
        <v>84</v>
      </c>
      <c r="B104">
        <v>4782</v>
      </c>
      <c r="C104">
        <f t="shared" si="3"/>
        <v>247</v>
      </c>
      <c r="D104" s="12">
        <f t="shared" si="4"/>
        <v>3</v>
      </c>
      <c r="E104" s="8">
        <f t="shared" si="5"/>
        <v>0.82333333333333336</v>
      </c>
      <c r="F104" t="str" cm="1">
        <f t="array" ref="F104">_xlfn.IFS(
 E104&lt;=0.2,"High Value",
 E104&lt;=0.6,"Medium Value",
 TRUE,"Low Value"
)</f>
        <v>Low Value</v>
      </c>
    </row>
    <row r="105" spans="1:6" x14ac:dyDescent="0.25">
      <c r="A105" t="s">
        <v>463</v>
      </c>
      <c r="B105">
        <v>4054</v>
      </c>
      <c r="C105">
        <f t="shared" si="3"/>
        <v>260</v>
      </c>
      <c r="D105" s="12">
        <f t="shared" si="4"/>
        <v>3</v>
      </c>
      <c r="E105" s="8">
        <f t="shared" si="5"/>
        <v>0.8666666666666667</v>
      </c>
      <c r="F105" t="str" cm="1">
        <f t="array" ref="F105">_xlfn.IFS(
 E105&lt;=0.2,"High Value",
 E105&lt;=0.6,"Medium Value",
 TRUE,"Low Value"
)</f>
        <v>Low Value</v>
      </c>
    </row>
    <row r="106" spans="1:6" x14ac:dyDescent="0.25">
      <c r="A106" t="s">
        <v>566</v>
      </c>
      <c r="B106">
        <v>9531</v>
      </c>
      <c r="C106">
        <f t="shared" si="3"/>
        <v>148</v>
      </c>
      <c r="D106" s="12">
        <f t="shared" si="4"/>
        <v>2</v>
      </c>
      <c r="E106" s="8">
        <f t="shared" si="5"/>
        <v>0.49333333333333335</v>
      </c>
      <c r="F106" t="str" cm="1">
        <f t="array" ref="F106">_xlfn.IFS(
 E106&lt;=0.2,"High Value",
 E106&lt;=0.6,"Medium Value",
 TRUE,"Low Value"
)</f>
        <v>Medium Value</v>
      </c>
    </row>
    <row r="107" spans="1:6" x14ac:dyDescent="0.25">
      <c r="A107" t="s">
        <v>115</v>
      </c>
      <c r="B107">
        <v>23633</v>
      </c>
      <c r="C107">
        <f t="shared" si="3"/>
        <v>8</v>
      </c>
      <c r="D107" s="12">
        <f t="shared" si="4"/>
        <v>1</v>
      </c>
      <c r="E107" s="8">
        <f t="shared" si="5"/>
        <v>2.6666666666666668E-2</v>
      </c>
      <c r="F107" t="str" cm="1">
        <f t="array" ref="F107">_xlfn.IFS(
 E107&lt;=0.2,"High Value",
 E107&lt;=0.6,"Medium Value",
 TRUE,"Low Value"
)</f>
        <v>High Value</v>
      </c>
    </row>
    <row r="108" spans="1:6" x14ac:dyDescent="0.25">
      <c r="A108" t="s">
        <v>449</v>
      </c>
      <c r="B108">
        <v>9786</v>
      </c>
      <c r="C108">
        <f t="shared" si="3"/>
        <v>141</v>
      </c>
      <c r="D108" s="12">
        <f t="shared" si="4"/>
        <v>2</v>
      </c>
      <c r="E108" s="8">
        <f t="shared" si="5"/>
        <v>0.47</v>
      </c>
      <c r="F108" t="str" cm="1">
        <f t="array" ref="F108">_xlfn.IFS(
 E108&lt;=0.2,"High Value",
 E108&lt;=0.6,"Medium Value",
 TRUE,"Low Value"
)</f>
        <v>Medium Value</v>
      </c>
    </row>
    <row r="109" spans="1:6" x14ac:dyDescent="0.25">
      <c r="A109" t="s">
        <v>22</v>
      </c>
      <c r="B109">
        <v>16917</v>
      </c>
      <c r="C109">
        <f t="shared" si="3"/>
        <v>40</v>
      </c>
      <c r="D109" s="12">
        <f t="shared" si="4"/>
        <v>1</v>
      </c>
      <c r="E109" s="8">
        <f t="shared" si="5"/>
        <v>0.13333333333333333</v>
      </c>
      <c r="F109" t="str" cm="1">
        <f t="array" ref="F109">_xlfn.IFS(
 E109&lt;=0.2,"High Value",
 E109&lt;=0.6,"Medium Value",
 TRUE,"Low Value"
)</f>
        <v>High Value</v>
      </c>
    </row>
    <row r="110" spans="1:6" x14ac:dyDescent="0.25">
      <c r="A110" t="s">
        <v>927</v>
      </c>
      <c r="B110">
        <v>16705</v>
      </c>
      <c r="C110">
        <f t="shared" si="3"/>
        <v>41</v>
      </c>
      <c r="D110" s="12">
        <f t="shared" si="4"/>
        <v>1</v>
      </c>
      <c r="E110" s="8">
        <f t="shared" si="5"/>
        <v>0.13666666666666666</v>
      </c>
      <c r="F110" t="str" cm="1">
        <f t="array" ref="F110">_xlfn.IFS(
 E110&lt;=0.2,"High Value",
 E110&lt;=0.6,"Medium Value",
 TRUE,"Low Value"
)</f>
        <v>High Value</v>
      </c>
    </row>
    <row r="111" spans="1:6" x14ac:dyDescent="0.25">
      <c r="A111" t="s">
        <v>98</v>
      </c>
      <c r="B111">
        <v>22749</v>
      </c>
      <c r="C111">
        <f t="shared" si="3"/>
        <v>11</v>
      </c>
      <c r="D111" s="12">
        <f t="shared" si="4"/>
        <v>1</v>
      </c>
      <c r="E111" s="8">
        <f t="shared" si="5"/>
        <v>3.6666666666666667E-2</v>
      </c>
      <c r="F111" t="str" cm="1">
        <f t="array" ref="F111">_xlfn.IFS(
 E111&lt;=0.2,"High Value",
 E111&lt;=0.6,"Medium Value",
 TRUE,"Low Value"
)</f>
        <v>High Value</v>
      </c>
    </row>
    <row r="112" spans="1:6" x14ac:dyDescent="0.25">
      <c r="A112" t="s">
        <v>73</v>
      </c>
      <c r="B112">
        <v>8251</v>
      </c>
      <c r="C112">
        <f t="shared" si="3"/>
        <v>179</v>
      </c>
      <c r="D112" s="12">
        <f t="shared" si="4"/>
        <v>2</v>
      </c>
      <c r="E112" s="8">
        <f t="shared" si="5"/>
        <v>0.59666666666666668</v>
      </c>
      <c r="F112" t="str" cm="1">
        <f t="array" ref="F112">_xlfn.IFS(
 E112&lt;=0.2,"High Value",
 E112&lt;=0.6,"Medium Value",
 TRUE,"Low Value"
)</f>
        <v>Medium Value</v>
      </c>
    </row>
    <row r="113" spans="1:6" x14ac:dyDescent="0.25">
      <c r="A113" t="s">
        <v>574</v>
      </c>
      <c r="B113">
        <v>12850</v>
      </c>
      <c r="C113">
        <f t="shared" si="3"/>
        <v>84</v>
      </c>
      <c r="D113" s="12">
        <f t="shared" si="4"/>
        <v>2</v>
      </c>
      <c r="E113" s="8">
        <f t="shared" si="5"/>
        <v>0.28000000000000003</v>
      </c>
      <c r="F113" t="str" cm="1">
        <f t="array" ref="F113">_xlfn.IFS(
 E113&lt;=0.2,"High Value",
 E113&lt;=0.6,"Medium Value",
 TRUE,"Low Value"
)</f>
        <v>Medium Value</v>
      </c>
    </row>
    <row r="114" spans="1:6" x14ac:dyDescent="0.25">
      <c r="A114" t="s">
        <v>377</v>
      </c>
      <c r="B114">
        <v>6949</v>
      </c>
      <c r="C114">
        <f t="shared" si="3"/>
        <v>203</v>
      </c>
      <c r="D114" s="12">
        <f t="shared" si="4"/>
        <v>3</v>
      </c>
      <c r="E114" s="8">
        <f t="shared" si="5"/>
        <v>0.67666666666666664</v>
      </c>
      <c r="F114" t="str" cm="1">
        <f t="array" ref="F114">_xlfn.IFS(
 E114&lt;=0.2,"High Value",
 E114&lt;=0.6,"Medium Value",
 TRUE,"Low Value"
)</f>
        <v>Low Value</v>
      </c>
    </row>
    <row r="115" spans="1:6" x14ac:dyDescent="0.25">
      <c r="A115" t="s">
        <v>67</v>
      </c>
      <c r="B115">
        <v>10532</v>
      </c>
      <c r="C115">
        <f t="shared" si="3"/>
        <v>115</v>
      </c>
      <c r="D115" s="12">
        <f t="shared" si="4"/>
        <v>2</v>
      </c>
      <c r="E115" s="8">
        <f t="shared" si="5"/>
        <v>0.38333333333333336</v>
      </c>
      <c r="F115" t="str" cm="1">
        <f t="array" ref="F115">_xlfn.IFS(
 E115&lt;=0.2,"High Value",
 E115&lt;=0.6,"Medium Value",
 TRUE,"Low Value"
)</f>
        <v>Medium Value</v>
      </c>
    </row>
    <row r="116" spans="1:6" x14ac:dyDescent="0.25">
      <c r="A116" t="s">
        <v>531</v>
      </c>
      <c r="B116">
        <v>9347</v>
      </c>
      <c r="C116">
        <f t="shared" si="3"/>
        <v>150</v>
      </c>
      <c r="D116" s="12">
        <f t="shared" si="4"/>
        <v>2</v>
      </c>
      <c r="E116" s="8">
        <f t="shared" si="5"/>
        <v>0.5</v>
      </c>
      <c r="F116" t="str" cm="1">
        <f t="array" ref="F116">_xlfn.IFS(
 E116&lt;=0.2,"High Value",
 E116&lt;=0.6,"Medium Value",
 TRUE,"Low Value"
)</f>
        <v>Medium Value</v>
      </c>
    </row>
    <row r="117" spans="1:6" x14ac:dyDescent="0.25">
      <c r="A117" t="s">
        <v>106</v>
      </c>
      <c r="B117">
        <v>13319</v>
      </c>
      <c r="C117">
        <f t="shared" si="3"/>
        <v>75</v>
      </c>
      <c r="D117" s="12">
        <f t="shared" si="4"/>
        <v>2</v>
      </c>
      <c r="E117" s="8">
        <f t="shared" si="5"/>
        <v>0.25</v>
      </c>
      <c r="F117" t="str" cm="1">
        <f t="array" ref="F117">_xlfn.IFS(
 E117&lt;=0.2,"High Value",
 E117&lt;=0.6,"Medium Value",
 TRUE,"Low Value"
)</f>
        <v>Medium Value</v>
      </c>
    </row>
    <row r="118" spans="1:6" x14ac:dyDescent="0.25">
      <c r="A118" t="s">
        <v>209</v>
      </c>
      <c r="B118">
        <v>13000</v>
      </c>
      <c r="C118">
        <f t="shared" si="3"/>
        <v>82</v>
      </c>
      <c r="D118" s="12">
        <f t="shared" si="4"/>
        <v>2</v>
      </c>
      <c r="E118" s="8">
        <f t="shared" si="5"/>
        <v>0.27333333333333332</v>
      </c>
      <c r="F118" t="str" cm="1">
        <f t="array" ref="F118">_xlfn.IFS(
 E118&lt;=0.2,"High Value",
 E118&lt;=0.6,"Medium Value",
 TRUE,"Low Value"
)</f>
        <v>Medium Value</v>
      </c>
    </row>
    <row r="119" spans="1:6" x14ac:dyDescent="0.25">
      <c r="A119" t="s">
        <v>417</v>
      </c>
      <c r="B119">
        <v>6843</v>
      </c>
      <c r="C119">
        <f t="shared" si="3"/>
        <v>206</v>
      </c>
      <c r="D119" s="12">
        <f t="shared" si="4"/>
        <v>3</v>
      </c>
      <c r="E119" s="8">
        <f t="shared" si="5"/>
        <v>0.68666666666666665</v>
      </c>
      <c r="F119" t="str" cm="1">
        <f t="array" ref="F119">_xlfn.IFS(
 E119&lt;=0.2,"High Value",
 E119&lt;=0.6,"Medium Value",
 TRUE,"Low Value"
)</f>
        <v>Low Value</v>
      </c>
    </row>
    <row r="120" spans="1:6" x14ac:dyDescent="0.25">
      <c r="A120" t="s">
        <v>343</v>
      </c>
      <c r="B120">
        <v>15031</v>
      </c>
      <c r="C120">
        <f t="shared" si="3"/>
        <v>54</v>
      </c>
      <c r="D120" s="12">
        <f t="shared" si="4"/>
        <v>1</v>
      </c>
      <c r="E120" s="8">
        <f t="shared" si="5"/>
        <v>0.18</v>
      </c>
      <c r="F120" t="str" cm="1">
        <f t="array" ref="F120">_xlfn.IFS(
 E120&lt;=0.2,"High Value",
 E120&lt;=0.6,"Medium Value",
 TRUE,"Low Value"
)</f>
        <v>High Value</v>
      </c>
    </row>
    <row r="121" spans="1:6" x14ac:dyDescent="0.25">
      <c r="A121" t="s">
        <v>1237</v>
      </c>
      <c r="B121">
        <v>9859</v>
      </c>
      <c r="C121">
        <f t="shared" si="3"/>
        <v>137</v>
      </c>
      <c r="D121" s="12">
        <f t="shared" si="4"/>
        <v>2</v>
      </c>
      <c r="E121" s="8">
        <f t="shared" si="5"/>
        <v>0.45666666666666667</v>
      </c>
      <c r="F121" t="str" cm="1">
        <f t="array" ref="F121">_xlfn.IFS(
 E121&lt;=0.2,"High Value",
 E121&lt;=0.6,"Medium Value",
 TRUE,"Low Value"
)</f>
        <v>Medium Value</v>
      </c>
    </row>
    <row r="122" spans="1:6" x14ac:dyDescent="0.25">
      <c r="A122" t="s">
        <v>338</v>
      </c>
      <c r="B122">
        <v>9936</v>
      </c>
      <c r="C122">
        <f t="shared" si="3"/>
        <v>133</v>
      </c>
      <c r="D122" s="12">
        <f t="shared" si="4"/>
        <v>2</v>
      </c>
      <c r="E122" s="8">
        <f t="shared" si="5"/>
        <v>0.44333333333333336</v>
      </c>
      <c r="F122" t="str" cm="1">
        <f t="array" ref="F122">_xlfn.IFS(
 E122&lt;=0.2,"High Value",
 E122&lt;=0.6,"Medium Value",
 TRUE,"Low Value"
)</f>
        <v>Medium Value</v>
      </c>
    </row>
    <row r="123" spans="1:6" x14ac:dyDescent="0.25">
      <c r="A123" t="s">
        <v>605</v>
      </c>
      <c r="B123">
        <v>9304</v>
      </c>
      <c r="C123">
        <f t="shared" si="3"/>
        <v>155</v>
      </c>
      <c r="D123" s="12">
        <f t="shared" si="4"/>
        <v>2</v>
      </c>
      <c r="E123" s="8">
        <f t="shared" si="5"/>
        <v>0.51666666666666672</v>
      </c>
      <c r="F123" t="str" cm="1">
        <f t="array" ref="F123">_xlfn.IFS(
 E123&lt;=0.2,"High Value",
 E123&lt;=0.6,"Medium Value",
 TRUE,"Low Value"
)</f>
        <v>Medium Value</v>
      </c>
    </row>
    <row r="124" spans="1:6" x14ac:dyDescent="0.25">
      <c r="A124" t="s">
        <v>117</v>
      </c>
      <c r="B124">
        <v>17518</v>
      </c>
      <c r="C124">
        <f t="shared" si="3"/>
        <v>29</v>
      </c>
      <c r="D124" s="12">
        <f t="shared" si="4"/>
        <v>1</v>
      </c>
      <c r="E124" s="8">
        <f t="shared" si="5"/>
        <v>9.6666666666666665E-2</v>
      </c>
      <c r="F124" t="str" cm="1">
        <f t="array" ref="F124">_xlfn.IFS(
 E124&lt;=0.2,"High Value",
 E124&lt;=0.6,"Medium Value",
 TRUE,"Low Value"
)</f>
        <v>High Value</v>
      </c>
    </row>
    <row r="125" spans="1:6" x14ac:dyDescent="0.25">
      <c r="A125" t="s">
        <v>406</v>
      </c>
      <c r="B125">
        <v>7021</v>
      </c>
      <c r="C125">
        <f t="shared" si="3"/>
        <v>200</v>
      </c>
      <c r="D125" s="12">
        <f t="shared" si="4"/>
        <v>3</v>
      </c>
      <c r="E125" s="8">
        <f t="shared" si="5"/>
        <v>0.66666666666666663</v>
      </c>
      <c r="F125" t="str" cm="1">
        <f t="array" ref="F125">_xlfn.IFS(
 E125&lt;=0.2,"High Value",
 E125&lt;=0.6,"Medium Value",
 TRUE,"Low Value"
)</f>
        <v>Low Value</v>
      </c>
    </row>
    <row r="126" spans="1:6" x14ac:dyDescent="0.25">
      <c r="A126" t="s">
        <v>570</v>
      </c>
      <c r="B126">
        <v>8459</v>
      </c>
      <c r="C126">
        <f t="shared" si="3"/>
        <v>171</v>
      </c>
      <c r="D126" s="12">
        <f t="shared" si="4"/>
        <v>2</v>
      </c>
      <c r="E126" s="8">
        <f t="shared" si="5"/>
        <v>0.56999999999999995</v>
      </c>
      <c r="F126" t="str" cm="1">
        <f t="array" ref="F126">_xlfn.IFS(
 E126&lt;=0.2,"High Value",
 E126&lt;=0.6,"Medium Value",
 TRUE,"Low Value"
)</f>
        <v>Medium Value</v>
      </c>
    </row>
    <row r="127" spans="1:6" x14ac:dyDescent="0.25">
      <c r="A127" t="s">
        <v>266</v>
      </c>
      <c r="B127">
        <v>10180</v>
      </c>
      <c r="C127">
        <f t="shared" si="3"/>
        <v>125</v>
      </c>
      <c r="D127" s="12">
        <f t="shared" si="4"/>
        <v>2</v>
      </c>
      <c r="E127" s="8">
        <f t="shared" si="5"/>
        <v>0.41666666666666669</v>
      </c>
      <c r="F127" t="str" cm="1">
        <f t="array" ref="F127">_xlfn.IFS(
 E127&lt;=0.2,"High Value",
 E127&lt;=0.6,"Medium Value",
 TRUE,"Low Value"
)</f>
        <v>Medium Value</v>
      </c>
    </row>
    <row r="128" spans="1:6" x14ac:dyDescent="0.25">
      <c r="A128" t="s">
        <v>240</v>
      </c>
      <c r="B128">
        <v>10252</v>
      </c>
      <c r="C128">
        <f t="shared" si="3"/>
        <v>121</v>
      </c>
      <c r="D128" s="12">
        <f t="shared" si="4"/>
        <v>2</v>
      </c>
      <c r="E128" s="8">
        <f t="shared" si="5"/>
        <v>0.40333333333333332</v>
      </c>
      <c r="F128" t="str" cm="1">
        <f t="array" ref="F128">_xlfn.IFS(
 E128&lt;=0.2,"High Value",
 E128&lt;=0.6,"Medium Value",
 TRUE,"Low Value"
)</f>
        <v>Medium Value</v>
      </c>
    </row>
    <row r="129" spans="1:6" x14ac:dyDescent="0.25">
      <c r="A129" t="s">
        <v>459</v>
      </c>
      <c r="B129">
        <v>14018</v>
      </c>
      <c r="C129">
        <f t="shared" si="3"/>
        <v>63</v>
      </c>
      <c r="D129" s="12">
        <f t="shared" si="4"/>
        <v>2</v>
      </c>
      <c r="E129" s="8">
        <f t="shared" si="5"/>
        <v>0.21</v>
      </c>
      <c r="F129" t="str" cm="1">
        <f t="array" ref="F129">_xlfn.IFS(
 E129&lt;=0.2,"High Value",
 E129&lt;=0.6,"Medium Value",
 TRUE,"Low Value"
)</f>
        <v>Medium Value</v>
      </c>
    </row>
    <row r="130" spans="1:6" x14ac:dyDescent="0.25">
      <c r="A130" t="s">
        <v>128</v>
      </c>
      <c r="B130">
        <v>5655</v>
      </c>
      <c r="C130">
        <f t="shared" si="3"/>
        <v>226</v>
      </c>
      <c r="D130" s="12">
        <f t="shared" si="4"/>
        <v>3</v>
      </c>
      <c r="E130" s="8">
        <f t="shared" si="5"/>
        <v>0.7533333333333333</v>
      </c>
      <c r="F130" t="str" cm="1">
        <f t="array" ref="F130">_xlfn.IFS(
 E130&lt;=0.2,"High Value",
 E130&lt;=0.6,"Medium Value",
 TRUE,"Low Value"
)</f>
        <v>Low Value</v>
      </c>
    </row>
    <row r="131" spans="1:6" x14ac:dyDescent="0.25">
      <c r="A131" t="s">
        <v>764</v>
      </c>
      <c r="B131">
        <v>9821</v>
      </c>
      <c r="C131">
        <f t="shared" ref="C131:C194" si="6">_xlfn.RANK.EQ(B131,$B$3:$B$302)</f>
        <v>140</v>
      </c>
      <c r="D131" s="12">
        <f t="shared" ref="D131:D194" si="7">IF(E131&lt;=0.2,1,IF(E131&lt;=0.6,2,3))</f>
        <v>2</v>
      </c>
      <c r="E131" s="8">
        <f t="shared" si="5"/>
        <v>0.46666666666666667</v>
      </c>
      <c r="F131" t="str" cm="1">
        <f t="array" ref="F131">_xlfn.IFS(
 E131&lt;=0.2,"High Value",
 E131&lt;=0.6,"Medium Value",
 TRUE,"Low Value"
)</f>
        <v>Medium Value</v>
      </c>
    </row>
    <row r="132" spans="1:6" x14ac:dyDescent="0.25">
      <c r="A132" t="s">
        <v>1672</v>
      </c>
      <c r="B132">
        <v>2484</v>
      </c>
      <c r="C132">
        <f t="shared" si="6"/>
        <v>280</v>
      </c>
      <c r="D132" s="12">
        <f t="shared" si="7"/>
        <v>3</v>
      </c>
      <c r="E132" s="8">
        <f t="shared" ref="E132:E195" si="8">_xlfn.RANK.EQ(B132,$B$3:$B$302)/COUNT($B$3:$B$302)</f>
        <v>0.93333333333333335</v>
      </c>
      <c r="F132" t="str" cm="1">
        <f t="array" ref="F132">_xlfn.IFS(
 E132&lt;=0.2,"High Value",
 E132&lt;=0.6,"Medium Value",
 TRUE,"Low Value"
)</f>
        <v>Low Value</v>
      </c>
    </row>
    <row r="133" spans="1:6" x14ac:dyDescent="0.25">
      <c r="A133" t="s">
        <v>848</v>
      </c>
      <c r="B133">
        <v>13019</v>
      </c>
      <c r="C133">
        <f t="shared" si="6"/>
        <v>79</v>
      </c>
      <c r="D133" s="12">
        <f t="shared" si="7"/>
        <v>2</v>
      </c>
      <c r="E133" s="8">
        <f t="shared" si="8"/>
        <v>0.26333333333333331</v>
      </c>
      <c r="F133" t="str" cm="1">
        <f t="array" ref="F133">_xlfn.IFS(
 E133&lt;=0.2,"High Value",
 E133&lt;=0.6,"Medium Value",
 TRUE,"Low Value"
)</f>
        <v>Medium Value</v>
      </c>
    </row>
    <row r="134" spans="1:6" x14ac:dyDescent="0.25">
      <c r="A134" t="s">
        <v>642</v>
      </c>
      <c r="B134">
        <v>20586</v>
      </c>
      <c r="C134">
        <f t="shared" si="6"/>
        <v>19</v>
      </c>
      <c r="D134" s="12">
        <f t="shared" si="7"/>
        <v>1</v>
      </c>
      <c r="E134" s="8">
        <f t="shared" si="8"/>
        <v>6.3333333333333339E-2</v>
      </c>
      <c r="F134" t="str" cm="1">
        <f t="array" ref="F134">_xlfn.IFS(
 E134&lt;=0.2,"High Value",
 E134&lt;=0.6,"Medium Value",
 TRUE,"Low Value"
)</f>
        <v>High Value</v>
      </c>
    </row>
    <row r="135" spans="1:6" x14ac:dyDescent="0.25">
      <c r="A135" t="s">
        <v>984</v>
      </c>
      <c r="B135">
        <v>7389</v>
      </c>
      <c r="C135">
        <f t="shared" si="6"/>
        <v>194</v>
      </c>
      <c r="D135" s="12">
        <f t="shared" si="7"/>
        <v>3</v>
      </c>
      <c r="E135" s="8">
        <f t="shared" si="8"/>
        <v>0.64666666666666661</v>
      </c>
      <c r="F135" t="str" cm="1">
        <f t="array" ref="F135">_xlfn.IFS(
 E135&lt;=0.2,"High Value",
 E135&lt;=0.6,"Medium Value",
 TRUE,"Low Value"
)</f>
        <v>Low Value</v>
      </c>
    </row>
    <row r="136" spans="1:6" x14ac:dyDescent="0.25">
      <c r="A136" t="s">
        <v>352</v>
      </c>
      <c r="B136">
        <v>5599</v>
      </c>
      <c r="C136">
        <f t="shared" si="6"/>
        <v>230</v>
      </c>
      <c r="D136" s="12">
        <f t="shared" si="7"/>
        <v>3</v>
      </c>
      <c r="E136" s="8">
        <f t="shared" si="8"/>
        <v>0.76666666666666672</v>
      </c>
      <c r="F136" t="str" cm="1">
        <f t="array" ref="F136">_xlfn.IFS(
 E136&lt;=0.2,"High Value",
 E136&lt;=0.6,"Medium Value",
 TRUE,"Low Value"
)</f>
        <v>Low Value</v>
      </c>
    </row>
    <row r="137" spans="1:6" x14ac:dyDescent="0.25">
      <c r="A137" t="s">
        <v>1090</v>
      </c>
      <c r="B137">
        <v>4673</v>
      </c>
      <c r="C137">
        <f t="shared" si="6"/>
        <v>249</v>
      </c>
      <c r="D137" s="12">
        <f t="shared" si="7"/>
        <v>3</v>
      </c>
      <c r="E137" s="8">
        <f t="shared" si="8"/>
        <v>0.83</v>
      </c>
      <c r="F137" t="str" cm="1">
        <f t="array" ref="F137">_xlfn.IFS(
 E137&lt;=0.2,"High Value",
 E137&lt;=0.6,"Medium Value",
 TRUE,"Low Value"
)</f>
        <v>Low Value</v>
      </c>
    </row>
    <row r="138" spans="1:6" x14ac:dyDescent="0.25">
      <c r="A138" t="s">
        <v>111</v>
      </c>
      <c r="B138">
        <v>13087</v>
      </c>
      <c r="C138">
        <f t="shared" si="6"/>
        <v>77</v>
      </c>
      <c r="D138" s="12">
        <f t="shared" si="7"/>
        <v>2</v>
      </c>
      <c r="E138" s="8">
        <f t="shared" si="8"/>
        <v>0.25666666666666665</v>
      </c>
      <c r="F138" t="str" cm="1">
        <f t="array" ref="F138">_xlfn.IFS(
 E138&lt;=0.2,"High Value",
 E138&lt;=0.6,"Medium Value",
 TRUE,"Low Value"
)</f>
        <v>Medium Value</v>
      </c>
    </row>
    <row r="139" spans="1:6" x14ac:dyDescent="0.25">
      <c r="A139" t="s">
        <v>785</v>
      </c>
      <c r="B139">
        <v>9914</v>
      </c>
      <c r="C139">
        <f t="shared" si="6"/>
        <v>135</v>
      </c>
      <c r="D139" s="12">
        <f t="shared" si="7"/>
        <v>2</v>
      </c>
      <c r="E139" s="8">
        <f t="shared" si="8"/>
        <v>0.45</v>
      </c>
      <c r="F139" t="str" cm="1">
        <f t="array" ref="F139">_xlfn.IFS(
 E139&lt;=0.2,"High Value",
 E139&lt;=0.6,"Medium Value",
 TRUE,"Low Value"
)</f>
        <v>Medium Value</v>
      </c>
    </row>
    <row r="140" spans="1:6" x14ac:dyDescent="0.25">
      <c r="A140" t="s">
        <v>795</v>
      </c>
      <c r="B140">
        <v>5158</v>
      </c>
      <c r="C140">
        <f t="shared" si="6"/>
        <v>238</v>
      </c>
      <c r="D140" s="12">
        <f t="shared" si="7"/>
        <v>3</v>
      </c>
      <c r="E140" s="8">
        <f t="shared" si="8"/>
        <v>0.79333333333333333</v>
      </c>
      <c r="F140" t="str" cm="1">
        <f t="array" ref="F140">_xlfn.IFS(
 E140&lt;=0.2,"High Value",
 E140&lt;=0.6,"Medium Value",
 TRUE,"Low Value"
)</f>
        <v>Low Value</v>
      </c>
    </row>
    <row r="141" spans="1:6" x14ac:dyDescent="0.25">
      <c r="A141" t="s">
        <v>302</v>
      </c>
      <c r="B141">
        <v>17083</v>
      </c>
      <c r="C141">
        <f t="shared" si="6"/>
        <v>36</v>
      </c>
      <c r="D141" s="12">
        <f t="shared" si="7"/>
        <v>1</v>
      </c>
      <c r="E141" s="8">
        <f t="shared" si="8"/>
        <v>0.12</v>
      </c>
      <c r="F141" t="str" cm="1">
        <f t="array" ref="F141">_xlfn.IFS(
 E141&lt;=0.2,"High Value",
 E141&lt;=0.6,"Medium Value",
 TRUE,"Low Value"
)</f>
        <v>High Value</v>
      </c>
    </row>
    <row r="142" spans="1:6" x14ac:dyDescent="0.25">
      <c r="A142" t="s">
        <v>258</v>
      </c>
      <c r="B142">
        <v>3147</v>
      </c>
      <c r="C142">
        <f t="shared" si="6"/>
        <v>274</v>
      </c>
      <c r="D142" s="12">
        <f t="shared" si="7"/>
        <v>3</v>
      </c>
      <c r="E142" s="8">
        <f t="shared" si="8"/>
        <v>0.91333333333333333</v>
      </c>
      <c r="F142" t="str" cm="1">
        <f t="array" ref="F142">_xlfn.IFS(
 E142&lt;=0.2,"High Value",
 E142&lt;=0.6,"Medium Value",
 TRUE,"Low Value"
)</f>
        <v>Low Value</v>
      </c>
    </row>
    <row r="143" spans="1:6" x14ac:dyDescent="0.25">
      <c r="A143" t="s">
        <v>1450</v>
      </c>
      <c r="B143">
        <v>8397</v>
      </c>
      <c r="C143">
        <f t="shared" si="6"/>
        <v>175</v>
      </c>
      <c r="D143" s="12">
        <f t="shared" si="7"/>
        <v>2</v>
      </c>
      <c r="E143" s="8">
        <f t="shared" si="8"/>
        <v>0.58333333333333337</v>
      </c>
      <c r="F143" t="str" cm="1">
        <f t="array" ref="F143">_xlfn.IFS(
 E143&lt;=0.2,"High Value",
 E143&lt;=0.6,"Medium Value",
 TRUE,"Low Value"
)</f>
        <v>Medium Value</v>
      </c>
    </row>
    <row r="144" spans="1:6" x14ac:dyDescent="0.25">
      <c r="A144" t="s">
        <v>332</v>
      </c>
      <c r="B144">
        <v>21578</v>
      </c>
      <c r="C144">
        <f t="shared" si="6"/>
        <v>14</v>
      </c>
      <c r="D144" s="12">
        <f t="shared" si="7"/>
        <v>1</v>
      </c>
      <c r="E144" s="8">
        <f t="shared" si="8"/>
        <v>4.6666666666666669E-2</v>
      </c>
      <c r="F144" t="str" cm="1">
        <f t="array" ref="F144">_xlfn.IFS(
 E144&lt;=0.2,"High Value",
 E144&lt;=0.6,"Medium Value",
 TRUE,"Low Value"
)</f>
        <v>High Value</v>
      </c>
    </row>
    <row r="145" spans="1:6" x14ac:dyDescent="0.25">
      <c r="A145" t="s">
        <v>695</v>
      </c>
      <c r="B145">
        <v>6636</v>
      </c>
      <c r="C145">
        <f t="shared" si="6"/>
        <v>208</v>
      </c>
      <c r="D145" s="12">
        <f t="shared" si="7"/>
        <v>3</v>
      </c>
      <c r="E145" s="8">
        <f t="shared" si="8"/>
        <v>0.69333333333333336</v>
      </c>
      <c r="F145" t="str" cm="1">
        <f t="array" ref="F145">_xlfn.IFS(
 E145&lt;=0.2,"High Value",
 E145&lt;=0.6,"Medium Value",
 TRUE,"Low Value"
)</f>
        <v>Low Value</v>
      </c>
    </row>
    <row r="146" spans="1:6" x14ac:dyDescent="0.25">
      <c r="A146" t="s">
        <v>226</v>
      </c>
      <c r="B146">
        <v>8591</v>
      </c>
      <c r="C146">
        <f t="shared" si="6"/>
        <v>168</v>
      </c>
      <c r="D146" s="12">
        <f t="shared" si="7"/>
        <v>2</v>
      </c>
      <c r="E146" s="8">
        <f t="shared" si="8"/>
        <v>0.56000000000000005</v>
      </c>
      <c r="F146" t="str" cm="1">
        <f t="array" ref="F146">_xlfn.IFS(
 E146&lt;=0.2,"High Value",
 E146&lt;=0.6,"Medium Value",
 TRUE,"Low Value"
)</f>
        <v>Medium Value</v>
      </c>
    </row>
    <row r="147" spans="1:6" x14ac:dyDescent="0.25">
      <c r="A147" t="s">
        <v>276</v>
      </c>
      <c r="B147">
        <v>1790</v>
      </c>
      <c r="C147">
        <f t="shared" si="6"/>
        <v>289</v>
      </c>
      <c r="D147" s="12">
        <f t="shared" si="7"/>
        <v>3</v>
      </c>
      <c r="E147" s="8">
        <f t="shared" si="8"/>
        <v>0.96333333333333337</v>
      </c>
      <c r="F147" t="str" cm="1">
        <f t="array" ref="F147">_xlfn.IFS(
 E147&lt;=0.2,"High Value",
 E147&lt;=0.6,"Medium Value",
 TRUE,"Low Value"
)</f>
        <v>Low Value</v>
      </c>
    </row>
    <row r="148" spans="1:6" x14ac:dyDescent="0.25">
      <c r="A148" t="s">
        <v>527</v>
      </c>
      <c r="B148">
        <v>12310</v>
      </c>
      <c r="C148">
        <f t="shared" si="6"/>
        <v>91</v>
      </c>
      <c r="D148" s="12">
        <f t="shared" si="7"/>
        <v>2</v>
      </c>
      <c r="E148" s="8">
        <f t="shared" si="8"/>
        <v>0.30333333333333334</v>
      </c>
      <c r="F148" t="str" cm="1">
        <f t="array" ref="F148">_xlfn.IFS(
 E148&lt;=0.2,"High Value",
 E148&lt;=0.6,"Medium Value",
 TRUE,"Low Value"
)</f>
        <v>Medium Value</v>
      </c>
    </row>
    <row r="149" spans="1:6" x14ac:dyDescent="0.25">
      <c r="A149" t="s">
        <v>404</v>
      </c>
      <c r="B149">
        <v>487</v>
      </c>
      <c r="C149">
        <f t="shared" si="6"/>
        <v>299</v>
      </c>
      <c r="D149" s="12">
        <f t="shared" si="7"/>
        <v>3</v>
      </c>
      <c r="E149" s="8">
        <f t="shared" si="8"/>
        <v>0.9966666666666667</v>
      </c>
      <c r="F149" t="str" cm="1">
        <f t="array" ref="F149">_xlfn.IFS(
 E149&lt;=0.2,"High Value",
 E149&lt;=0.6,"Medium Value",
 TRUE,"Low Value"
)</f>
        <v>Low Value</v>
      </c>
    </row>
    <row r="150" spans="1:6" x14ac:dyDescent="0.25">
      <c r="A150" t="s">
        <v>644</v>
      </c>
      <c r="B150">
        <v>10078</v>
      </c>
      <c r="C150">
        <f t="shared" si="6"/>
        <v>128</v>
      </c>
      <c r="D150" s="12">
        <f t="shared" si="7"/>
        <v>2</v>
      </c>
      <c r="E150" s="8">
        <f t="shared" si="8"/>
        <v>0.42666666666666669</v>
      </c>
      <c r="F150" t="str" cm="1">
        <f t="array" ref="F150">_xlfn.IFS(
 E150&lt;=0.2,"High Value",
 E150&lt;=0.6,"Medium Value",
 TRUE,"Low Value"
)</f>
        <v>Medium Value</v>
      </c>
    </row>
    <row r="151" spans="1:6" x14ac:dyDescent="0.25">
      <c r="A151" t="s">
        <v>1172</v>
      </c>
      <c r="B151">
        <v>8422</v>
      </c>
      <c r="C151">
        <f t="shared" si="6"/>
        <v>174</v>
      </c>
      <c r="D151" s="12">
        <f t="shared" si="7"/>
        <v>2</v>
      </c>
      <c r="E151" s="8">
        <f t="shared" si="8"/>
        <v>0.57999999999999996</v>
      </c>
      <c r="F151" t="str" cm="1">
        <f t="array" ref="F151">_xlfn.IFS(
 E151&lt;=0.2,"High Value",
 E151&lt;=0.6,"Medium Value",
 TRUE,"Low Value"
)</f>
        <v>Medium Value</v>
      </c>
    </row>
    <row r="152" spans="1:6" x14ac:dyDescent="0.25">
      <c r="A152" t="s">
        <v>484</v>
      </c>
      <c r="B152">
        <v>7173</v>
      </c>
      <c r="C152">
        <f t="shared" si="6"/>
        <v>198</v>
      </c>
      <c r="D152" s="12">
        <f t="shared" si="7"/>
        <v>3</v>
      </c>
      <c r="E152" s="8">
        <f t="shared" si="8"/>
        <v>0.66</v>
      </c>
      <c r="F152" t="str" cm="1">
        <f t="array" ref="F152">_xlfn.IFS(
 E152&lt;=0.2,"High Value",
 E152&lt;=0.6,"Medium Value",
 TRUE,"Low Value"
)</f>
        <v>Low Value</v>
      </c>
    </row>
    <row r="153" spans="1:6" x14ac:dyDescent="0.25">
      <c r="A153" t="s">
        <v>256</v>
      </c>
      <c r="B153">
        <v>4232</v>
      </c>
      <c r="C153">
        <f t="shared" si="6"/>
        <v>257</v>
      </c>
      <c r="D153" s="12">
        <f t="shared" si="7"/>
        <v>3</v>
      </c>
      <c r="E153" s="8">
        <f t="shared" si="8"/>
        <v>0.85666666666666669</v>
      </c>
      <c r="F153" t="str" cm="1">
        <f t="array" ref="F153">_xlfn.IFS(
 E153&lt;=0.2,"High Value",
 E153&lt;=0.6,"Medium Value",
 TRUE,"Low Value"
)</f>
        <v>Low Value</v>
      </c>
    </row>
    <row r="154" spans="1:6" x14ac:dyDescent="0.25">
      <c r="A154" t="s">
        <v>652</v>
      </c>
      <c r="B154">
        <v>2783</v>
      </c>
      <c r="C154">
        <f t="shared" si="6"/>
        <v>277</v>
      </c>
      <c r="D154" s="12">
        <f t="shared" si="7"/>
        <v>3</v>
      </c>
      <c r="E154" s="8">
        <f t="shared" si="8"/>
        <v>0.92333333333333334</v>
      </c>
      <c r="F154" t="str" cm="1">
        <f t="array" ref="F154">_xlfn.IFS(
 E154&lt;=0.2,"High Value",
 E154&lt;=0.6,"Medium Value",
 TRUE,"Low Value"
)</f>
        <v>Low Value</v>
      </c>
    </row>
    <row r="155" spans="1:6" x14ac:dyDescent="0.25">
      <c r="A155" t="s">
        <v>263</v>
      </c>
      <c r="B155">
        <v>5956</v>
      </c>
      <c r="C155">
        <f t="shared" si="6"/>
        <v>217</v>
      </c>
      <c r="D155" s="12">
        <f t="shared" si="7"/>
        <v>3</v>
      </c>
      <c r="E155" s="8">
        <f t="shared" si="8"/>
        <v>0.72333333333333338</v>
      </c>
      <c r="F155" t="str" cm="1">
        <f t="array" ref="F155">_xlfn.IFS(
 E155&lt;=0.2,"High Value",
 E155&lt;=0.6,"Medium Value",
 TRUE,"Low Value"
)</f>
        <v>Low Value</v>
      </c>
    </row>
    <row r="156" spans="1:6" x14ac:dyDescent="0.25">
      <c r="A156" t="s">
        <v>706</v>
      </c>
      <c r="B156">
        <v>11337</v>
      </c>
      <c r="C156">
        <f t="shared" si="6"/>
        <v>99</v>
      </c>
      <c r="D156" s="12">
        <f t="shared" si="7"/>
        <v>2</v>
      </c>
      <c r="E156" s="8">
        <f t="shared" si="8"/>
        <v>0.33</v>
      </c>
      <c r="F156" t="str" cm="1">
        <f t="array" ref="F156">_xlfn.IFS(
 E156&lt;=0.2,"High Value",
 E156&lt;=0.6,"Medium Value",
 TRUE,"Low Value"
)</f>
        <v>Medium Value</v>
      </c>
    </row>
    <row r="157" spans="1:6" x14ac:dyDescent="0.25">
      <c r="A157" t="s">
        <v>246</v>
      </c>
      <c r="B157">
        <v>10115</v>
      </c>
      <c r="C157">
        <f t="shared" si="6"/>
        <v>127</v>
      </c>
      <c r="D157" s="12">
        <f t="shared" si="7"/>
        <v>2</v>
      </c>
      <c r="E157" s="8">
        <f t="shared" si="8"/>
        <v>0.42333333333333334</v>
      </c>
      <c r="F157" t="str" cm="1">
        <f t="array" ref="F157">_xlfn.IFS(
 E157&lt;=0.2,"High Value",
 E157&lt;=0.6,"Medium Value",
 TRUE,"Low Value"
)</f>
        <v>Medium Value</v>
      </c>
    </row>
    <row r="158" spans="1:6" x14ac:dyDescent="0.25">
      <c r="A158" t="s">
        <v>499</v>
      </c>
      <c r="B158">
        <v>10024</v>
      </c>
      <c r="C158">
        <f t="shared" si="6"/>
        <v>130</v>
      </c>
      <c r="D158" s="12">
        <f t="shared" si="7"/>
        <v>2</v>
      </c>
      <c r="E158" s="8">
        <f t="shared" si="8"/>
        <v>0.43333333333333335</v>
      </c>
      <c r="F158" t="str" cm="1">
        <f t="array" ref="F158">_xlfn.IFS(
 E158&lt;=0.2,"High Value",
 E158&lt;=0.6,"Medium Value",
 TRUE,"Low Value"
)</f>
        <v>Medium Value</v>
      </c>
    </row>
    <row r="159" spans="1:6" x14ac:dyDescent="0.25">
      <c r="A159" t="s">
        <v>214</v>
      </c>
      <c r="B159">
        <v>9175</v>
      </c>
      <c r="C159">
        <f t="shared" si="6"/>
        <v>157</v>
      </c>
      <c r="D159" s="12">
        <f t="shared" si="7"/>
        <v>2</v>
      </c>
      <c r="E159" s="8">
        <f t="shared" si="8"/>
        <v>0.52333333333333332</v>
      </c>
      <c r="F159" t="str" cm="1">
        <f t="array" ref="F159">_xlfn.IFS(
 E159&lt;=0.2,"High Value",
 E159&lt;=0.6,"Medium Value",
 TRUE,"Low Value"
)</f>
        <v>Medium Value</v>
      </c>
    </row>
    <row r="160" spans="1:6" x14ac:dyDescent="0.25">
      <c r="A160" t="s">
        <v>289</v>
      </c>
      <c r="B160">
        <v>11657</v>
      </c>
      <c r="C160">
        <f t="shared" si="6"/>
        <v>97</v>
      </c>
      <c r="D160" s="12">
        <f t="shared" si="7"/>
        <v>2</v>
      </c>
      <c r="E160" s="8">
        <f t="shared" si="8"/>
        <v>0.32333333333333331</v>
      </c>
      <c r="F160" t="str" cm="1">
        <f t="array" ref="F160">_xlfn.IFS(
 E160&lt;=0.2,"High Value",
 E160&lt;=0.6,"Medium Value",
 TRUE,"Low Value"
)</f>
        <v>Medium Value</v>
      </c>
    </row>
    <row r="161" spans="1:6" x14ac:dyDescent="0.25">
      <c r="A161" t="s">
        <v>675</v>
      </c>
      <c r="B161">
        <v>13711</v>
      </c>
      <c r="C161">
        <f t="shared" si="6"/>
        <v>66</v>
      </c>
      <c r="D161" s="12">
        <f t="shared" si="7"/>
        <v>2</v>
      </c>
      <c r="E161" s="8">
        <f t="shared" si="8"/>
        <v>0.22</v>
      </c>
      <c r="F161" t="str" cm="1">
        <f t="array" ref="F161">_xlfn.IFS(
 E161&lt;=0.2,"High Value",
 E161&lt;=0.6,"Medium Value",
 TRUE,"Low Value"
)</f>
        <v>Medium Value</v>
      </c>
    </row>
    <row r="162" spans="1:6" x14ac:dyDescent="0.25">
      <c r="A162" t="s">
        <v>53</v>
      </c>
      <c r="B162">
        <v>15571</v>
      </c>
      <c r="C162">
        <f t="shared" si="6"/>
        <v>45</v>
      </c>
      <c r="D162" s="12">
        <f t="shared" si="7"/>
        <v>1</v>
      </c>
      <c r="E162" s="8">
        <f t="shared" si="8"/>
        <v>0.15</v>
      </c>
      <c r="F162" t="str" cm="1">
        <f t="array" ref="F162">_xlfn.IFS(
 E162&lt;=0.2,"High Value",
 E162&lt;=0.6,"Medium Value",
 TRUE,"Low Value"
)</f>
        <v>High Value</v>
      </c>
    </row>
    <row r="163" spans="1:6" x14ac:dyDescent="0.25">
      <c r="A163" t="s">
        <v>270</v>
      </c>
      <c r="B163">
        <v>9925</v>
      </c>
      <c r="C163">
        <f t="shared" si="6"/>
        <v>134</v>
      </c>
      <c r="D163" s="12">
        <f t="shared" si="7"/>
        <v>2</v>
      </c>
      <c r="E163" s="8">
        <f t="shared" si="8"/>
        <v>0.44666666666666666</v>
      </c>
      <c r="F163" t="str" cm="1">
        <f t="array" ref="F163">_xlfn.IFS(
 E163&lt;=0.2,"High Value",
 E163&lt;=0.6,"Medium Value",
 TRUE,"Low Value"
)</f>
        <v>Medium Value</v>
      </c>
    </row>
    <row r="164" spans="1:6" x14ac:dyDescent="0.25">
      <c r="A164" t="s">
        <v>380</v>
      </c>
      <c r="B164">
        <v>3479</v>
      </c>
      <c r="C164">
        <f t="shared" si="6"/>
        <v>270</v>
      </c>
      <c r="D164" s="12">
        <f t="shared" si="7"/>
        <v>3</v>
      </c>
      <c r="E164" s="8">
        <f t="shared" si="8"/>
        <v>0.9</v>
      </c>
      <c r="F164" t="str" cm="1">
        <f t="array" ref="F164">_xlfn.IFS(
 E164&lt;=0.2,"High Value",
 E164&lt;=0.6,"Medium Value",
 TRUE,"Low Value"
)</f>
        <v>Low Value</v>
      </c>
    </row>
    <row r="165" spans="1:6" x14ac:dyDescent="0.25">
      <c r="A165" t="s">
        <v>142</v>
      </c>
      <c r="B165">
        <v>13016</v>
      </c>
      <c r="C165">
        <f t="shared" si="6"/>
        <v>80</v>
      </c>
      <c r="D165" s="12">
        <f t="shared" si="7"/>
        <v>2</v>
      </c>
      <c r="E165" s="8">
        <f t="shared" si="8"/>
        <v>0.26666666666666666</v>
      </c>
      <c r="F165" t="str" cm="1">
        <f t="array" ref="F165">_xlfn.IFS(
 E165&lt;=0.2,"High Value",
 E165&lt;=0.6,"Medium Value",
 TRUE,"Low Value"
)</f>
        <v>Medium Value</v>
      </c>
    </row>
    <row r="166" spans="1:6" x14ac:dyDescent="0.25">
      <c r="A166" t="s">
        <v>181</v>
      </c>
      <c r="B166">
        <v>10177</v>
      </c>
      <c r="C166">
        <f t="shared" si="6"/>
        <v>126</v>
      </c>
      <c r="D166" s="12">
        <f t="shared" si="7"/>
        <v>2</v>
      </c>
      <c r="E166" s="8">
        <f t="shared" si="8"/>
        <v>0.42</v>
      </c>
      <c r="F166" t="str" cm="1">
        <f t="array" ref="F166">_xlfn.IFS(
 E166&lt;=0.2,"High Value",
 E166&lt;=0.6,"Medium Value",
 TRUE,"Low Value"
)</f>
        <v>Medium Value</v>
      </c>
    </row>
    <row r="167" spans="1:6" x14ac:dyDescent="0.25">
      <c r="A167" t="s">
        <v>1395</v>
      </c>
      <c r="B167">
        <v>4290</v>
      </c>
      <c r="C167">
        <f t="shared" si="6"/>
        <v>255</v>
      </c>
      <c r="D167" s="12">
        <f t="shared" si="7"/>
        <v>3</v>
      </c>
      <c r="E167" s="8">
        <f t="shared" si="8"/>
        <v>0.85</v>
      </c>
      <c r="F167" t="str" cm="1">
        <f t="array" ref="F167">_xlfn.IFS(
 E167&lt;=0.2,"High Value",
 E167&lt;=0.6,"Medium Value",
 TRUE,"Low Value"
)</f>
        <v>Low Value</v>
      </c>
    </row>
    <row r="168" spans="1:6" x14ac:dyDescent="0.25">
      <c r="A168" t="s">
        <v>558</v>
      </c>
      <c r="B168">
        <v>12932</v>
      </c>
      <c r="C168">
        <f t="shared" si="6"/>
        <v>83</v>
      </c>
      <c r="D168" s="12">
        <f t="shared" si="7"/>
        <v>2</v>
      </c>
      <c r="E168" s="8">
        <f t="shared" si="8"/>
        <v>0.27666666666666667</v>
      </c>
      <c r="F168" t="str" cm="1">
        <f t="array" ref="F168">_xlfn.IFS(
 E168&lt;=0.2,"High Value",
 E168&lt;=0.6,"Medium Value",
 TRUE,"Low Value"
)</f>
        <v>Medium Value</v>
      </c>
    </row>
    <row r="169" spans="1:6" x14ac:dyDescent="0.25">
      <c r="A169" t="s">
        <v>261</v>
      </c>
      <c r="B169">
        <v>12535</v>
      </c>
      <c r="C169">
        <f t="shared" si="6"/>
        <v>88</v>
      </c>
      <c r="D169" s="12">
        <f t="shared" si="7"/>
        <v>2</v>
      </c>
      <c r="E169" s="8">
        <f t="shared" si="8"/>
        <v>0.29333333333333333</v>
      </c>
      <c r="F169" t="str" cm="1">
        <f t="array" ref="F169">_xlfn.IFS(
 E169&lt;=0.2,"High Value",
 E169&lt;=0.6,"Medium Value",
 TRUE,"Low Value"
)</f>
        <v>Medium Value</v>
      </c>
    </row>
    <row r="170" spans="1:6" x14ac:dyDescent="0.25">
      <c r="A170" t="s">
        <v>248</v>
      </c>
      <c r="B170">
        <v>4089</v>
      </c>
      <c r="C170">
        <f t="shared" si="6"/>
        <v>259</v>
      </c>
      <c r="D170" s="12">
        <f t="shared" si="7"/>
        <v>3</v>
      </c>
      <c r="E170" s="8">
        <f t="shared" si="8"/>
        <v>0.86333333333333329</v>
      </c>
      <c r="F170" t="str" cm="1">
        <f t="array" ref="F170">_xlfn.IFS(
 E170&lt;=0.2,"High Value",
 E170&lt;=0.6,"Medium Value",
 TRUE,"Low Value"
)</f>
        <v>Low Value</v>
      </c>
    </row>
    <row r="171" spans="1:6" x14ac:dyDescent="0.25">
      <c r="A171" t="s">
        <v>614</v>
      </c>
      <c r="B171">
        <v>10029</v>
      </c>
      <c r="C171">
        <f t="shared" si="6"/>
        <v>129</v>
      </c>
      <c r="D171" s="12">
        <f t="shared" si="7"/>
        <v>2</v>
      </c>
      <c r="E171" s="8">
        <f t="shared" si="8"/>
        <v>0.43</v>
      </c>
      <c r="F171" t="str" cm="1">
        <f t="array" ref="F171">_xlfn.IFS(
 E171&lt;=0.2,"High Value",
 E171&lt;=0.6,"Medium Value",
 TRUE,"Low Value"
)</f>
        <v>Medium Value</v>
      </c>
    </row>
    <row r="172" spans="1:6" x14ac:dyDescent="0.25">
      <c r="A172" t="s">
        <v>230</v>
      </c>
      <c r="B172">
        <v>13476</v>
      </c>
      <c r="C172">
        <f t="shared" si="6"/>
        <v>70</v>
      </c>
      <c r="D172" s="12">
        <f t="shared" si="7"/>
        <v>2</v>
      </c>
      <c r="E172" s="8">
        <f t="shared" si="8"/>
        <v>0.23333333333333334</v>
      </c>
      <c r="F172" t="str" cm="1">
        <f t="array" ref="F172">_xlfn.IFS(
 E172&lt;=0.2,"High Value",
 E172&lt;=0.6,"Medium Value",
 TRUE,"Low Value"
)</f>
        <v>Medium Value</v>
      </c>
    </row>
    <row r="173" spans="1:6" x14ac:dyDescent="0.25">
      <c r="A173" t="s">
        <v>471</v>
      </c>
      <c r="B173">
        <v>11008</v>
      </c>
      <c r="C173">
        <f t="shared" si="6"/>
        <v>106</v>
      </c>
      <c r="D173" s="12">
        <f t="shared" si="7"/>
        <v>2</v>
      </c>
      <c r="E173" s="8">
        <f t="shared" si="8"/>
        <v>0.35333333333333333</v>
      </c>
      <c r="F173" t="str" cm="1">
        <f t="array" ref="F173">_xlfn.IFS(
 E173&lt;=0.2,"High Value",
 E173&lt;=0.6,"Medium Value",
 TRUE,"Low Value"
)</f>
        <v>Medium Value</v>
      </c>
    </row>
    <row r="174" spans="1:6" x14ac:dyDescent="0.25">
      <c r="A174" t="s">
        <v>234</v>
      </c>
      <c r="B174">
        <v>3743</v>
      </c>
      <c r="C174">
        <f t="shared" si="6"/>
        <v>267</v>
      </c>
      <c r="D174" s="12">
        <f t="shared" si="7"/>
        <v>3</v>
      </c>
      <c r="E174" s="8">
        <f t="shared" si="8"/>
        <v>0.89</v>
      </c>
      <c r="F174" t="str" cm="1">
        <f t="array" ref="F174">_xlfn.IFS(
 E174&lt;=0.2,"High Value",
 E174&lt;=0.6,"Medium Value",
 TRUE,"Low Value"
)</f>
        <v>Low Value</v>
      </c>
    </row>
    <row r="175" spans="1:6" x14ac:dyDescent="0.25">
      <c r="A175" t="s">
        <v>45</v>
      </c>
      <c r="B175">
        <v>12735</v>
      </c>
      <c r="C175">
        <f t="shared" si="6"/>
        <v>85</v>
      </c>
      <c r="D175" s="12">
        <f t="shared" si="7"/>
        <v>2</v>
      </c>
      <c r="E175" s="8">
        <f t="shared" si="8"/>
        <v>0.28333333333333333</v>
      </c>
      <c r="F175" t="str" cm="1">
        <f t="array" ref="F175">_xlfn.IFS(
 E175&lt;=0.2,"High Value",
 E175&lt;=0.6,"Medium Value",
 TRUE,"Low Value"
)</f>
        <v>Medium Value</v>
      </c>
    </row>
    <row r="176" spans="1:6" x14ac:dyDescent="0.25">
      <c r="A176" t="s">
        <v>78</v>
      </c>
      <c r="B176">
        <v>14547</v>
      </c>
      <c r="C176">
        <f t="shared" si="6"/>
        <v>55</v>
      </c>
      <c r="D176" s="12">
        <f t="shared" si="7"/>
        <v>1</v>
      </c>
      <c r="E176" s="8">
        <f t="shared" si="8"/>
        <v>0.18333333333333332</v>
      </c>
      <c r="F176" t="str" cm="1">
        <f t="array" ref="F176">_xlfn.IFS(
 E176&lt;=0.2,"High Value",
 E176&lt;=0.6,"Medium Value",
 TRUE,"Low Value"
)</f>
        <v>High Value</v>
      </c>
    </row>
    <row r="177" spans="1:6" x14ac:dyDescent="0.25">
      <c r="A177" t="s">
        <v>690</v>
      </c>
      <c r="B177">
        <v>9163</v>
      </c>
      <c r="C177">
        <f t="shared" si="6"/>
        <v>158</v>
      </c>
      <c r="D177" s="12">
        <f t="shared" si="7"/>
        <v>2</v>
      </c>
      <c r="E177" s="8">
        <f t="shared" si="8"/>
        <v>0.52666666666666662</v>
      </c>
      <c r="F177" t="str" cm="1">
        <f t="array" ref="F177">_xlfn.IFS(
 E177&lt;=0.2,"High Value",
 E177&lt;=0.6,"Medium Value",
 TRUE,"Low Value"
)</f>
        <v>Medium Value</v>
      </c>
    </row>
    <row r="178" spans="1:6" x14ac:dyDescent="0.25">
      <c r="A178" t="s">
        <v>238</v>
      </c>
      <c r="B178">
        <v>3875</v>
      </c>
      <c r="C178">
        <f t="shared" si="6"/>
        <v>263</v>
      </c>
      <c r="D178" s="12">
        <f t="shared" si="7"/>
        <v>3</v>
      </c>
      <c r="E178" s="8">
        <f t="shared" si="8"/>
        <v>0.87666666666666671</v>
      </c>
      <c r="F178" t="str" cm="1">
        <f t="array" ref="F178">_xlfn.IFS(
 E178&lt;=0.2,"High Value",
 E178&lt;=0.6,"Medium Value",
 TRUE,"Low Value"
)</f>
        <v>Low Value</v>
      </c>
    </row>
    <row r="179" spans="1:6" x14ac:dyDescent="0.25">
      <c r="A179" t="s">
        <v>544</v>
      </c>
      <c r="B179">
        <v>2408</v>
      </c>
      <c r="C179">
        <f t="shared" si="6"/>
        <v>281</v>
      </c>
      <c r="D179" s="12">
        <f t="shared" si="7"/>
        <v>3</v>
      </c>
      <c r="E179" s="8">
        <f t="shared" si="8"/>
        <v>0.93666666666666665</v>
      </c>
      <c r="F179" t="str" cm="1">
        <f t="array" ref="F179">_xlfn.IFS(
 E179&lt;=0.2,"High Value",
 E179&lt;=0.6,"Medium Value",
 TRUE,"Low Value"
)</f>
        <v>Low Value</v>
      </c>
    </row>
    <row r="180" spans="1:6" x14ac:dyDescent="0.25">
      <c r="A180" t="s">
        <v>945</v>
      </c>
      <c r="B180">
        <v>1410</v>
      </c>
      <c r="C180">
        <f t="shared" si="6"/>
        <v>293</v>
      </c>
      <c r="D180" s="12">
        <f t="shared" si="7"/>
        <v>3</v>
      </c>
      <c r="E180" s="8">
        <f t="shared" si="8"/>
        <v>0.97666666666666668</v>
      </c>
      <c r="F180" t="str" cm="1">
        <f t="array" ref="F180">_xlfn.IFS(
 E180&lt;=0.2,"High Value",
 E180&lt;=0.6,"Medium Value",
 TRUE,"Low Value"
)</f>
        <v>Low Value</v>
      </c>
    </row>
    <row r="181" spans="1:6" x14ac:dyDescent="0.25">
      <c r="A181" t="s">
        <v>19</v>
      </c>
      <c r="B181">
        <v>13639</v>
      </c>
      <c r="C181">
        <f t="shared" si="6"/>
        <v>67</v>
      </c>
      <c r="D181" s="12">
        <f t="shared" si="7"/>
        <v>2</v>
      </c>
      <c r="E181" s="8">
        <f t="shared" si="8"/>
        <v>0.22333333333333333</v>
      </c>
      <c r="F181" t="str" cm="1">
        <f t="array" ref="F181">_xlfn.IFS(
 E181&lt;=0.2,"High Value",
 E181&lt;=0.6,"Medium Value",
 TRUE,"Low Value"
)</f>
        <v>Medium Value</v>
      </c>
    </row>
    <row r="182" spans="1:6" x14ac:dyDescent="0.25">
      <c r="A182" t="s">
        <v>663</v>
      </c>
      <c r="B182">
        <v>5132</v>
      </c>
      <c r="C182">
        <f t="shared" si="6"/>
        <v>239</v>
      </c>
      <c r="D182" s="12">
        <f t="shared" si="7"/>
        <v>3</v>
      </c>
      <c r="E182" s="8">
        <f t="shared" si="8"/>
        <v>0.79666666666666663</v>
      </c>
      <c r="F182" t="str" cm="1">
        <f t="array" ref="F182">_xlfn.IFS(
 E182&lt;=0.2,"High Value",
 E182&lt;=0.6,"Medium Value",
 TRUE,"Low Value"
)</f>
        <v>Low Value</v>
      </c>
    </row>
    <row r="183" spans="1:6" x14ac:dyDescent="0.25">
      <c r="A183" t="s">
        <v>480</v>
      </c>
      <c r="B183">
        <v>9644</v>
      </c>
      <c r="C183">
        <f t="shared" si="6"/>
        <v>145</v>
      </c>
      <c r="D183" s="12">
        <f t="shared" si="7"/>
        <v>2</v>
      </c>
      <c r="E183" s="8">
        <f t="shared" si="8"/>
        <v>0.48333333333333334</v>
      </c>
      <c r="F183" t="str" cm="1">
        <f t="array" ref="F183">_xlfn.IFS(
 E183&lt;=0.2,"High Value",
 E183&lt;=0.6,"Medium Value",
 TRUE,"Low Value"
)</f>
        <v>Medium Value</v>
      </c>
    </row>
    <row r="184" spans="1:6" x14ac:dyDescent="0.25">
      <c r="A184" t="s">
        <v>1688</v>
      </c>
      <c r="B184">
        <v>5060</v>
      </c>
      <c r="C184">
        <f t="shared" si="6"/>
        <v>241</v>
      </c>
      <c r="D184" s="12">
        <f t="shared" si="7"/>
        <v>3</v>
      </c>
      <c r="E184" s="8">
        <f t="shared" si="8"/>
        <v>0.80333333333333334</v>
      </c>
      <c r="F184" t="str" cm="1">
        <f t="array" ref="F184">_xlfn.IFS(
 E184&lt;=0.2,"High Value",
 E184&lt;=0.6,"Medium Value",
 TRUE,"Low Value"
)</f>
        <v>Low Value</v>
      </c>
    </row>
    <row r="185" spans="1:6" x14ac:dyDescent="0.25">
      <c r="A185" t="s">
        <v>364</v>
      </c>
      <c r="B185">
        <v>10545</v>
      </c>
      <c r="C185">
        <f t="shared" si="6"/>
        <v>114</v>
      </c>
      <c r="D185" s="12">
        <f t="shared" si="7"/>
        <v>2</v>
      </c>
      <c r="E185" s="8">
        <f t="shared" si="8"/>
        <v>0.38</v>
      </c>
      <c r="F185" t="str" cm="1">
        <f t="array" ref="F185">_xlfn.IFS(
 E185&lt;=0.2,"High Value",
 E185&lt;=0.6,"Medium Value",
 TRUE,"Low Value"
)</f>
        <v>Medium Value</v>
      </c>
    </row>
    <row r="186" spans="1:6" x14ac:dyDescent="0.25">
      <c r="A186" t="s">
        <v>389</v>
      </c>
      <c r="B186">
        <v>10984</v>
      </c>
      <c r="C186">
        <f t="shared" si="6"/>
        <v>107</v>
      </c>
      <c r="D186" s="12">
        <f t="shared" si="7"/>
        <v>2</v>
      </c>
      <c r="E186" s="8">
        <f t="shared" si="8"/>
        <v>0.35666666666666669</v>
      </c>
      <c r="F186" t="str" cm="1">
        <f t="array" ref="F186">_xlfn.IFS(
 E186&lt;=0.2,"High Value",
 E186&lt;=0.6,"Medium Value",
 TRUE,"Low Value"
)</f>
        <v>Medium Value</v>
      </c>
    </row>
    <row r="187" spans="1:6" x14ac:dyDescent="0.25">
      <c r="A187" t="s">
        <v>39</v>
      </c>
      <c r="B187">
        <v>8720</v>
      </c>
      <c r="C187">
        <f t="shared" si="6"/>
        <v>163</v>
      </c>
      <c r="D187" s="12">
        <f t="shared" si="7"/>
        <v>2</v>
      </c>
      <c r="E187" s="8">
        <f t="shared" si="8"/>
        <v>0.54333333333333333</v>
      </c>
      <c r="F187" t="str" cm="1">
        <f t="array" ref="F187">_xlfn.IFS(
 E187&lt;=0.2,"High Value",
 E187&lt;=0.6,"Medium Value",
 TRUE,"Low Value"
)</f>
        <v>Medium Value</v>
      </c>
    </row>
    <row r="188" spans="1:6" x14ac:dyDescent="0.25">
      <c r="A188" t="s">
        <v>47</v>
      </c>
      <c r="B188">
        <v>11290</v>
      </c>
      <c r="C188">
        <f t="shared" si="6"/>
        <v>100</v>
      </c>
      <c r="D188" s="12">
        <f t="shared" si="7"/>
        <v>2</v>
      </c>
      <c r="E188" s="8">
        <f t="shared" si="8"/>
        <v>0.33333333333333331</v>
      </c>
      <c r="F188" t="str" cm="1">
        <f t="array" ref="F188">_xlfn.IFS(
 E188&lt;=0.2,"High Value",
 E188&lt;=0.6,"Medium Value",
 TRUE,"Low Value"
)</f>
        <v>Medium Value</v>
      </c>
    </row>
    <row r="189" spans="1:6" x14ac:dyDescent="0.25">
      <c r="A189" t="s">
        <v>324</v>
      </c>
      <c r="B189">
        <v>12385</v>
      </c>
      <c r="C189">
        <f t="shared" si="6"/>
        <v>89</v>
      </c>
      <c r="D189" s="12">
        <f t="shared" si="7"/>
        <v>2</v>
      </c>
      <c r="E189" s="8">
        <f t="shared" si="8"/>
        <v>0.29666666666666669</v>
      </c>
      <c r="F189" t="str" cm="1">
        <f t="array" ref="F189">_xlfn.IFS(
 E189&lt;=0.2,"High Value",
 E189&lt;=0.6,"Medium Value",
 TRUE,"Low Value"
)</f>
        <v>Medium Value</v>
      </c>
    </row>
    <row r="190" spans="1:6" x14ac:dyDescent="0.25">
      <c r="A190" t="s">
        <v>600</v>
      </c>
      <c r="B190">
        <v>6976</v>
      </c>
      <c r="C190">
        <f t="shared" si="6"/>
        <v>201</v>
      </c>
      <c r="D190" s="12">
        <f t="shared" si="7"/>
        <v>3</v>
      </c>
      <c r="E190" s="8">
        <f t="shared" si="8"/>
        <v>0.67</v>
      </c>
      <c r="F190" t="str" cm="1">
        <f t="array" ref="F190">_xlfn.IFS(
 E190&lt;=0.2,"High Value",
 E190&lt;=0.6,"Medium Value",
 TRUE,"Low Value"
)</f>
        <v>Low Value</v>
      </c>
    </row>
    <row r="191" spans="1:6" x14ac:dyDescent="0.25">
      <c r="A191" t="s">
        <v>134</v>
      </c>
      <c r="B191">
        <v>11022</v>
      </c>
      <c r="C191">
        <f t="shared" si="6"/>
        <v>105</v>
      </c>
      <c r="D191" s="12">
        <f t="shared" si="7"/>
        <v>2</v>
      </c>
      <c r="E191" s="8">
        <f t="shared" si="8"/>
        <v>0.35</v>
      </c>
      <c r="F191" t="str" cm="1">
        <f t="array" ref="F191">_xlfn.IFS(
 E191&lt;=0.2,"High Value",
 E191&lt;=0.6,"Medium Value",
 TRUE,"Low Value"
)</f>
        <v>Medium Value</v>
      </c>
    </row>
    <row r="192" spans="1:6" x14ac:dyDescent="0.25">
      <c r="A192" t="s">
        <v>148</v>
      </c>
      <c r="B192">
        <v>5889</v>
      </c>
      <c r="C192">
        <f t="shared" si="6"/>
        <v>219</v>
      </c>
      <c r="D192" s="12">
        <f t="shared" si="7"/>
        <v>3</v>
      </c>
      <c r="E192" s="8">
        <f t="shared" si="8"/>
        <v>0.73</v>
      </c>
      <c r="F192" t="str" cm="1">
        <f t="array" ref="F192">_xlfn.IFS(
 E192&lt;=0.2,"High Value",
 E192&lt;=0.6,"Medium Value",
 TRUE,"Low Value"
)</f>
        <v>Low Value</v>
      </c>
    </row>
    <row r="193" spans="1:6" x14ac:dyDescent="0.25">
      <c r="A193" t="s">
        <v>254</v>
      </c>
      <c r="B193">
        <v>14413</v>
      </c>
      <c r="C193">
        <f t="shared" si="6"/>
        <v>57</v>
      </c>
      <c r="D193" s="12">
        <f t="shared" si="7"/>
        <v>1</v>
      </c>
      <c r="E193" s="8">
        <f t="shared" si="8"/>
        <v>0.19</v>
      </c>
      <c r="F193" t="str" cm="1">
        <f t="array" ref="F193">_xlfn.IFS(
 E193&lt;=0.2,"High Value",
 E193&lt;=0.6,"Medium Value",
 TRUE,"Low Value"
)</f>
        <v>High Value</v>
      </c>
    </row>
    <row r="194" spans="1:6" x14ac:dyDescent="0.25">
      <c r="A194" t="s">
        <v>175</v>
      </c>
      <c r="B194">
        <v>2843</v>
      </c>
      <c r="C194">
        <f t="shared" si="6"/>
        <v>275</v>
      </c>
      <c r="D194" s="12">
        <f t="shared" si="7"/>
        <v>3</v>
      </c>
      <c r="E194" s="8">
        <f t="shared" si="8"/>
        <v>0.91666666666666663</v>
      </c>
      <c r="F194" t="str" cm="1">
        <f t="array" ref="F194">_xlfn.IFS(
 E194&lt;=0.2,"High Value",
 E194&lt;=0.6,"Medium Value",
 TRUE,"Low Value"
)</f>
        <v>Low Value</v>
      </c>
    </row>
    <row r="195" spans="1:6" x14ac:dyDescent="0.25">
      <c r="A195" t="s">
        <v>820</v>
      </c>
      <c r="B195">
        <v>3244</v>
      </c>
      <c r="C195">
        <f t="shared" ref="C195:C258" si="9">_xlfn.RANK.EQ(B195,$B$3:$B$302)</f>
        <v>272</v>
      </c>
      <c r="D195" s="12">
        <f t="shared" ref="D195:D258" si="10">IF(E195&lt;=0.2,1,IF(E195&lt;=0.6,2,3))</f>
        <v>3</v>
      </c>
      <c r="E195" s="8">
        <f t="shared" si="8"/>
        <v>0.90666666666666662</v>
      </c>
      <c r="F195" t="str" cm="1">
        <f t="array" ref="F195">_xlfn.IFS(
 E195&lt;=0.2,"High Value",
 E195&lt;=0.6,"Medium Value",
 TRUE,"Low Value"
)</f>
        <v>Low Value</v>
      </c>
    </row>
    <row r="196" spans="1:6" x14ac:dyDescent="0.25">
      <c r="A196" t="s">
        <v>320</v>
      </c>
      <c r="B196">
        <v>15976</v>
      </c>
      <c r="C196">
        <f t="shared" si="9"/>
        <v>43</v>
      </c>
      <c r="D196" s="12">
        <f t="shared" si="10"/>
        <v>1</v>
      </c>
      <c r="E196" s="8">
        <f t="shared" ref="E196:E259" si="11">_xlfn.RANK.EQ(B196,$B$3:$B$302)/COUNT($B$3:$B$302)</f>
        <v>0.14333333333333334</v>
      </c>
      <c r="F196" t="str" cm="1">
        <f t="array" ref="F196">_xlfn.IFS(
 E196&lt;=0.2,"High Value",
 E196&lt;=0.6,"Medium Value",
 TRUE,"Low Value"
)</f>
        <v>High Value</v>
      </c>
    </row>
    <row r="197" spans="1:6" x14ac:dyDescent="0.25">
      <c r="A197" t="s">
        <v>163</v>
      </c>
      <c r="B197">
        <v>15189</v>
      </c>
      <c r="C197">
        <f t="shared" si="9"/>
        <v>49</v>
      </c>
      <c r="D197" s="12">
        <f t="shared" si="10"/>
        <v>1</v>
      </c>
      <c r="E197" s="8">
        <f t="shared" si="11"/>
        <v>0.16333333333333333</v>
      </c>
      <c r="F197" t="str" cm="1">
        <f t="array" ref="F197">_xlfn.IFS(
 E197&lt;=0.2,"High Value",
 E197&lt;=0.6,"Medium Value",
 TRUE,"Low Value"
)</f>
        <v>High Value</v>
      </c>
    </row>
    <row r="198" spans="1:6" x14ac:dyDescent="0.25">
      <c r="A198" t="s">
        <v>43</v>
      </c>
      <c r="B198">
        <v>10852</v>
      </c>
      <c r="C198">
        <f t="shared" si="9"/>
        <v>109</v>
      </c>
      <c r="D198" s="12">
        <f t="shared" si="10"/>
        <v>2</v>
      </c>
      <c r="E198" s="8">
        <f t="shared" si="11"/>
        <v>0.36333333333333334</v>
      </c>
      <c r="F198" t="str" cm="1">
        <f t="array" ref="F198">_xlfn.IFS(
 E198&lt;=0.2,"High Value",
 E198&lt;=0.6,"Medium Value",
 TRUE,"Low Value"
)</f>
        <v>Medium Value</v>
      </c>
    </row>
    <row r="199" spans="1:6" x14ac:dyDescent="0.25">
      <c r="A199" t="s">
        <v>384</v>
      </c>
      <c r="B199">
        <v>19282</v>
      </c>
      <c r="C199">
        <f t="shared" si="9"/>
        <v>25</v>
      </c>
      <c r="D199" s="12">
        <f t="shared" si="10"/>
        <v>1</v>
      </c>
      <c r="E199" s="8">
        <f t="shared" si="11"/>
        <v>8.3333333333333329E-2</v>
      </c>
      <c r="F199" t="str" cm="1">
        <f t="array" ref="F199">_xlfn.IFS(
 E199&lt;=0.2,"High Value",
 E199&lt;=0.6,"Medium Value",
 TRUE,"Low Value"
)</f>
        <v>High Value</v>
      </c>
    </row>
    <row r="200" spans="1:6" x14ac:dyDescent="0.25">
      <c r="A200" t="s">
        <v>183</v>
      </c>
      <c r="B200">
        <v>13508</v>
      </c>
      <c r="C200">
        <f t="shared" si="9"/>
        <v>69</v>
      </c>
      <c r="D200" s="12">
        <f t="shared" si="10"/>
        <v>2</v>
      </c>
      <c r="E200" s="8">
        <f t="shared" si="11"/>
        <v>0.23</v>
      </c>
      <c r="F200" t="str" cm="1">
        <f t="array" ref="F200">_xlfn.IFS(
 E200&lt;=0.2,"High Value",
 E200&lt;=0.6,"Medium Value",
 TRUE,"Low Value"
)</f>
        <v>Medium Value</v>
      </c>
    </row>
    <row r="201" spans="1:6" x14ac:dyDescent="0.25">
      <c r="A201" t="s">
        <v>547</v>
      </c>
      <c r="B201">
        <v>10947</v>
      </c>
      <c r="C201">
        <f t="shared" si="9"/>
        <v>108</v>
      </c>
      <c r="D201" s="12">
        <f t="shared" si="10"/>
        <v>2</v>
      </c>
      <c r="E201" s="8">
        <f t="shared" si="11"/>
        <v>0.36</v>
      </c>
      <c r="F201" t="str" cm="1">
        <f t="array" ref="F201">_xlfn.IFS(
 E201&lt;=0.2,"High Value",
 E201&lt;=0.6,"Medium Value",
 TRUE,"Low Value"
)</f>
        <v>Medium Value</v>
      </c>
    </row>
    <row r="202" spans="1:6" x14ac:dyDescent="0.25">
      <c r="A202" t="s">
        <v>350</v>
      </c>
      <c r="B202">
        <v>2380</v>
      </c>
      <c r="C202">
        <f t="shared" si="9"/>
        <v>282</v>
      </c>
      <c r="D202" s="12">
        <f t="shared" si="10"/>
        <v>3</v>
      </c>
      <c r="E202" s="8">
        <f t="shared" si="11"/>
        <v>0.94</v>
      </c>
      <c r="F202" t="str" cm="1">
        <f t="array" ref="F202">_xlfn.IFS(
 E202&lt;=0.2,"High Value",
 E202&lt;=0.6,"Medium Value",
 TRUE,"Low Value"
)</f>
        <v>Low Value</v>
      </c>
    </row>
    <row r="203" spans="1:6" x14ac:dyDescent="0.25">
      <c r="A203" t="s">
        <v>382</v>
      </c>
      <c r="B203">
        <v>10195</v>
      </c>
      <c r="C203">
        <f t="shared" si="9"/>
        <v>124</v>
      </c>
      <c r="D203" s="12">
        <f t="shared" si="10"/>
        <v>2</v>
      </c>
      <c r="E203" s="8">
        <f t="shared" si="11"/>
        <v>0.41333333333333333</v>
      </c>
      <c r="F203" t="str" cm="1">
        <f t="array" ref="F203">_xlfn.IFS(
 E203&lt;=0.2,"High Value",
 E203&lt;=0.6,"Medium Value",
 TRUE,"Low Value"
)</f>
        <v>Medium Value</v>
      </c>
    </row>
    <row r="204" spans="1:6" x14ac:dyDescent="0.25">
      <c r="A204" t="s">
        <v>34</v>
      </c>
      <c r="B204">
        <v>13011</v>
      </c>
      <c r="C204">
        <f t="shared" si="9"/>
        <v>81</v>
      </c>
      <c r="D204" s="12">
        <f t="shared" si="10"/>
        <v>2</v>
      </c>
      <c r="E204" s="8">
        <f t="shared" si="11"/>
        <v>0.27</v>
      </c>
      <c r="F204" t="str" cm="1">
        <f t="array" ref="F204">_xlfn.IFS(
 E204&lt;=0.2,"High Value",
 E204&lt;=0.6,"Medium Value",
 TRUE,"Low Value"
)</f>
        <v>Medium Value</v>
      </c>
    </row>
    <row r="205" spans="1:6" x14ac:dyDescent="0.25">
      <c r="A205" t="s">
        <v>158</v>
      </c>
      <c r="B205">
        <v>6877</v>
      </c>
      <c r="C205">
        <f t="shared" si="9"/>
        <v>205</v>
      </c>
      <c r="D205" s="12">
        <f t="shared" si="10"/>
        <v>3</v>
      </c>
      <c r="E205" s="8">
        <f t="shared" si="11"/>
        <v>0.68333333333333335</v>
      </c>
      <c r="F205" t="str" cm="1">
        <f t="array" ref="F205">_xlfn.IFS(
 E205&lt;=0.2,"High Value",
 E205&lt;=0.6,"Medium Value",
 TRUE,"Low Value"
)</f>
        <v>Low Value</v>
      </c>
    </row>
    <row r="206" spans="1:6" x14ac:dyDescent="0.25">
      <c r="A206" t="s">
        <v>1294</v>
      </c>
      <c r="B206">
        <v>883</v>
      </c>
      <c r="C206">
        <f t="shared" si="9"/>
        <v>297</v>
      </c>
      <c r="D206" s="12">
        <f t="shared" si="10"/>
        <v>3</v>
      </c>
      <c r="E206" s="8">
        <f t="shared" si="11"/>
        <v>0.99</v>
      </c>
      <c r="F206" t="str" cm="1">
        <f t="array" ref="F206">_xlfn.IFS(
 E206&lt;=0.2,"High Value",
 E206&lt;=0.6,"Medium Value",
 TRUE,"Low Value"
)</f>
        <v>Low Value</v>
      </c>
    </row>
    <row r="207" spans="1:6" x14ac:dyDescent="0.25">
      <c r="A207" t="s">
        <v>766</v>
      </c>
      <c r="B207">
        <v>15864</v>
      </c>
      <c r="C207">
        <f t="shared" si="9"/>
        <v>44</v>
      </c>
      <c r="D207" s="12">
        <f t="shared" si="10"/>
        <v>1</v>
      </c>
      <c r="E207" s="8">
        <f t="shared" si="11"/>
        <v>0.14666666666666667</v>
      </c>
      <c r="F207" t="str" cm="1">
        <f t="array" ref="F207">_xlfn.IFS(
 E207&lt;=0.2,"High Value",
 E207&lt;=0.6,"Medium Value",
 TRUE,"Low Value"
)</f>
        <v>High Value</v>
      </c>
    </row>
    <row r="208" spans="1:6" x14ac:dyDescent="0.25">
      <c r="A208" t="s">
        <v>1027</v>
      </c>
      <c r="B208">
        <v>4608</v>
      </c>
      <c r="C208">
        <f t="shared" si="9"/>
        <v>251</v>
      </c>
      <c r="D208" s="12">
        <f t="shared" si="10"/>
        <v>3</v>
      </c>
      <c r="E208" s="8">
        <f t="shared" si="11"/>
        <v>0.83666666666666667</v>
      </c>
      <c r="F208" t="str" cm="1">
        <f t="array" ref="F208">_xlfn.IFS(
 E208&lt;=0.2,"High Value",
 E208&lt;=0.6,"Medium Value",
 TRUE,"Low Value"
)</f>
        <v>Low Value</v>
      </c>
    </row>
    <row r="209" spans="1:6" x14ac:dyDescent="0.25">
      <c r="A209" t="s">
        <v>413</v>
      </c>
      <c r="B209">
        <v>5653</v>
      </c>
      <c r="C209">
        <f t="shared" si="9"/>
        <v>228</v>
      </c>
      <c r="D209" s="12">
        <f t="shared" si="10"/>
        <v>3</v>
      </c>
      <c r="E209" s="8">
        <f t="shared" si="11"/>
        <v>0.76</v>
      </c>
      <c r="F209" t="str" cm="1">
        <f t="array" ref="F209">_xlfn.IFS(
 E209&lt;=0.2,"High Value",
 E209&lt;=0.6,"Medium Value",
 TRUE,"Low Value"
)</f>
        <v>Low Value</v>
      </c>
    </row>
    <row r="210" spans="1:6" x14ac:dyDescent="0.25">
      <c r="A210" t="s">
        <v>427</v>
      </c>
      <c r="B210">
        <v>5679</v>
      </c>
      <c r="C210">
        <f t="shared" si="9"/>
        <v>224</v>
      </c>
      <c r="D210" s="12">
        <f t="shared" si="10"/>
        <v>3</v>
      </c>
      <c r="E210" s="8">
        <f t="shared" si="11"/>
        <v>0.7466666666666667</v>
      </c>
      <c r="F210" t="str" cm="1">
        <f t="array" ref="F210">_xlfn.IFS(
 E210&lt;=0.2,"High Value",
 E210&lt;=0.6,"Medium Value",
 TRUE,"Low Value"
)</f>
        <v>Low Value</v>
      </c>
    </row>
    <row r="211" spans="1:6" x14ac:dyDescent="0.25">
      <c r="A211" t="s">
        <v>504</v>
      </c>
      <c r="B211">
        <v>8939</v>
      </c>
      <c r="C211">
        <f t="shared" si="9"/>
        <v>161</v>
      </c>
      <c r="D211" s="12">
        <f t="shared" si="10"/>
        <v>2</v>
      </c>
      <c r="E211" s="8">
        <f t="shared" si="11"/>
        <v>0.53666666666666663</v>
      </c>
      <c r="F211" t="str" cm="1">
        <f t="array" ref="F211">_xlfn.IFS(
 E211&lt;=0.2,"High Value",
 E211&lt;=0.6,"Medium Value",
 TRUE,"Low Value"
)</f>
        <v>Medium Value</v>
      </c>
    </row>
    <row r="212" spans="1:6" x14ac:dyDescent="0.25">
      <c r="A212" t="s">
        <v>1319</v>
      </c>
      <c r="B212">
        <v>1306</v>
      </c>
      <c r="C212">
        <f t="shared" si="9"/>
        <v>294</v>
      </c>
      <c r="D212" s="12">
        <f t="shared" si="10"/>
        <v>3</v>
      </c>
      <c r="E212" s="8">
        <f t="shared" si="11"/>
        <v>0.98</v>
      </c>
      <c r="F212" t="str" cm="1">
        <f t="array" ref="F212">_xlfn.IFS(
 E212&lt;=0.2,"High Value",
 E212&lt;=0.6,"Medium Value",
 TRUE,"Low Value"
)</f>
        <v>Low Value</v>
      </c>
    </row>
    <row r="213" spans="1:6" x14ac:dyDescent="0.25">
      <c r="A213" t="s">
        <v>194</v>
      </c>
      <c r="B213">
        <v>12080</v>
      </c>
      <c r="C213">
        <f t="shared" si="9"/>
        <v>94</v>
      </c>
      <c r="D213" s="12">
        <f t="shared" si="10"/>
        <v>2</v>
      </c>
      <c r="E213" s="8">
        <f t="shared" si="11"/>
        <v>0.31333333333333335</v>
      </c>
      <c r="F213" t="str" cm="1">
        <f t="array" ref="F213">_xlfn.IFS(
 E213&lt;=0.2,"High Value",
 E213&lt;=0.6,"Medium Value",
 TRUE,"Low Value"
)</f>
        <v>Medium Value</v>
      </c>
    </row>
    <row r="214" spans="1:6" x14ac:dyDescent="0.25">
      <c r="A214" t="s">
        <v>326</v>
      </c>
      <c r="B214">
        <v>13148</v>
      </c>
      <c r="C214">
        <f t="shared" si="9"/>
        <v>76</v>
      </c>
      <c r="D214" s="12">
        <f t="shared" si="10"/>
        <v>2</v>
      </c>
      <c r="E214" s="8">
        <f t="shared" si="11"/>
        <v>0.25333333333333335</v>
      </c>
      <c r="F214" t="str" cm="1">
        <f t="array" ref="F214">_xlfn.IFS(
 E214&lt;=0.2,"High Value",
 E214&lt;=0.6,"Medium Value",
 TRUE,"Low Value"
)</f>
        <v>Medium Value</v>
      </c>
    </row>
    <row r="215" spans="1:6" x14ac:dyDescent="0.25">
      <c r="A215" t="s">
        <v>541</v>
      </c>
      <c r="B215">
        <v>8650</v>
      </c>
      <c r="C215">
        <f t="shared" si="9"/>
        <v>167</v>
      </c>
      <c r="D215" s="12">
        <f t="shared" si="10"/>
        <v>2</v>
      </c>
      <c r="E215" s="8">
        <f t="shared" si="11"/>
        <v>0.55666666666666664</v>
      </c>
      <c r="F215" t="str" cm="1">
        <f t="array" ref="F215">_xlfn.IFS(
 E215&lt;=0.2,"High Value",
 E215&lt;=0.6,"Medium Value",
 TRUE,"Low Value"
)</f>
        <v>Medium Value</v>
      </c>
    </row>
    <row r="216" spans="1:6" x14ac:dyDescent="0.25">
      <c r="A216" t="s">
        <v>454</v>
      </c>
      <c r="B216">
        <v>5746</v>
      </c>
      <c r="C216">
        <f t="shared" si="9"/>
        <v>220</v>
      </c>
      <c r="D216" s="12">
        <f t="shared" si="10"/>
        <v>3</v>
      </c>
      <c r="E216" s="8">
        <f t="shared" si="11"/>
        <v>0.73333333333333328</v>
      </c>
      <c r="F216" t="str" cm="1">
        <f t="array" ref="F216">_xlfn.IFS(
 E216&lt;=0.2,"High Value",
 E216&lt;=0.6,"Medium Value",
 TRUE,"Low Value"
)</f>
        <v>Low Value</v>
      </c>
    </row>
    <row r="217" spans="1:6" x14ac:dyDescent="0.25">
      <c r="A217" t="s">
        <v>16</v>
      </c>
      <c r="B217">
        <v>9287</v>
      </c>
      <c r="C217">
        <f t="shared" si="9"/>
        <v>156</v>
      </c>
      <c r="D217" s="12">
        <f t="shared" si="10"/>
        <v>2</v>
      </c>
      <c r="E217" s="8">
        <f t="shared" si="11"/>
        <v>0.52</v>
      </c>
      <c r="F217" t="str" cm="1">
        <f t="array" ref="F217">_xlfn.IFS(
 E217&lt;=0.2,"High Value",
 E217&lt;=0.6,"Medium Value",
 TRUE,"Low Value"
)</f>
        <v>Medium Value</v>
      </c>
    </row>
    <row r="218" spans="1:6" x14ac:dyDescent="0.25">
      <c r="A218" t="s">
        <v>671</v>
      </c>
      <c r="B218">
        <v>9764</v>
      </c>
      <c r="C218">
        <f t="shared" si="9"/>
        <v>143</v>
      </c>
      <c r="D218" s="12">
        <f t="shared" si="10"/>
        <v>2</v>
      </c>
      <c r="E218" s="8">
        <f t="shared" si="11"/>
        <v>0.47666666666666668</v>
      </c>
      <c r="F218" t="str" cm="1">
        <f t="array" ref="F218">_xlfn.IFS(
 E218&lt;=0.2,"High Value",
 E218&lt;=0.6,"Medium Value",
 TRUE,"Low Value"
)</f>
        <v>Medium Value</v>
      </c>
    </row>
    <row r="219" spans="1:6" x14ac:dyDescent="0.25">
      <c r="A219" t="s">
        <v>37</v>
      </c>
      <c r="B219">
        <v>13054</v>
      </c>
      <c r="C219">
        <f t="shared" si="9"/>
        <v>78</v>
      </c>
      <c r="D219" s="12">
        <f t="shared" si="10"/>
        <v>2</v>
      </c>
      <c r="E219" s="8">
        <f t="shared" si="11"/>
        <v>0.26</v>
      </c>
      <c r="F219" t="str" cm="1">
        <f t="array" ref="F219">_xlfn.IFS(
 E219&lt;=0.2,"High Value",
 E219&lt;=0.6,"Medium Value",
 TRUE,"Low Value"
)</f>
        <v>Medium Value</v>
      </c>
    </row>
    <row r="220" spans="1:6" x14ac:dyDescent="0.25">
      <c r="A220" t="s">
        <v>375</v>
      </c>
      <c r="B220">
        <v>16920</v>
      </c>
      <c r="C220">
        <f t="shared" si="9"/>
        <v>39</v>
      </c>
      <c r="D220" s="12">
        <f t="shared" si="10"/>
        <v>1</v>
      </c>
      <c r="E220" s="8">
        <f t="shared" si="11"/>
        <v>0.13</v>
      </c>
      <c r="F220" t="str" cm="1">
        <f t="array" ref="F220">_xlfn.IFS(
 E220&lt;=0.2,"High Value",
 E220&lt;=0.6,"Medium Value",
 TRUE,"Low Value"
)</f>
        <v>High Value</v>
      </c>
    </row>
    <row r="221" spans="1:6" x14ac:dyDescent="0.25">
      <c r="A221" t="s">
        <v>477</v>
      </c>
      <c r="B221">
        <v>13401</v>
      </c>
      <c r="C221">
        <f t="shared" si="9"/>
        <v>71</v>
      </c>
      <c r="D221" s="12">
        <f t="shared" si="10"/>
        <v>2</v>
      </c>
      <c r="E221" s="8">
        <f t="shared" si="11"/>
        <v>0.23666666666666666</v>
      </c>
      <c r="F221" t="str" cm="1">
        <f t="array" ref="F221">_xlfn.IFS(
 E221&lt;=0.2,"High Value",
 E221&lt;=0.6,"Medium Value",
 TRUE,"Low Value"
)</f>
        <v>Medium Value</v>
      </c>
    </row>
    <row r="222" spans="1:6" x14ac:dyDescent="0.25">
      <c r="A222" t="s">
        <v>268</v>
      </c>
      <c r="B222">
        <v>7632</v>
      </c>
      <c r="C222">
        <f t="shared" si="9"/>
        <v>189</v>
      </c>
      <c r="D222" s="12">
        <f t="shared" si="10"/>
        <v>3</v>
      </c>
      <c r="E222" s="8">
        <f t="shared" si="11"/>
        <v>0.63</v>
      </c>
      <c r="F222" t="str" cm="1">
        <f t="array" ref="F222">_xlfn.IFS(
 E222&lt;=0.2,"High Value",
 E222&lt;=0.6,"Medium Value",
 TRUE,"Low Value"
)</f>
        <v>Low Value</v>
      </c>
    </row>
    <row r="223" spans="1:6" x14ac:dyDescent="0.25">
      <c r="A223" t="s">
        <v>125</v>
      </c>
      <c r="B223">
        <v>21031</v>
      </c>
      <c r="C223">
        <f t="shared" si="9"/>
        <v>17</v>
      </c>
      <c r="D223" s="12">
        <f t="shared" si="10"/>
        <v>1</v>
      </c>
      <c r="E223" s="8">
        <f t="shared" si="11"/>
        <v>5.6666666666666664E-2</v>
      </c>
      <c r="F223" t="str" cm="1">
        <f t="array" ref="F223">_xlfn.IFS(
 E223&lt;=0.2,"High Value",
 E223&lt;=0.6,"Medium Value",
 TRUE,"Low Value"
)</f>
        <v>High Value</v>
      </c>
    </row>
    <row r="224" spans="1:6" x14ac:dyDescent="0.25">
      <c r="A224" t="s">
        <v>799</v>
      </c>
      <c r="B224">
        <v>4414</v>
      </c>
      <c r="C224">
        <f t="shared" si="9"/>
        <v>254</v>
      </c>
      <c r="D224" s="12">
        <f t="shared" si="10"/>
        <v>3</v>
      </c>
      <c r="E224" s="8">
        <f t="shared" si="11"/>
        <v>0.84666666666666668</v>
      </c>
      <c r="F224" t="str" cm="1">
        <f t="array" ref="F224">_xlfn.IFS(
 E224&lt;=0.2,"High Value",
 E224&lt;=0.6,"Medium Value",
 TRUE,"Low Value"
)</f>
        <v>Low Value</v>
      </c>
    </row>
    <row r="225" spans="1:6" x14ac:dyDescent="0.25">
      <c r="A225" t="s">
        <v>1144</v>
      </c>
      <c r="B225">
        <v>21131</v>
      </c>
      <c r="C225">
        <f t="shared" si="9"/>
        <v>16</v>
      </c>
      <c r="D225" s="12">
        <f t="shared" si="10"/>
        <v>1</v>
      </c>
      <c r="E225" s="8">
        <f t="shared" si="11"/>
        <v>5.3333333333333337E-2</v>
      </c>
      <c r="F225" t="str" cm="1">
        <f t="array" ref="F225">_xlfn.IFS(
 E225&lt;=0.2,"High Value",
 E225&lt;=0.6,"Medium Value",
 TRUE,"Low Value"
)</f>
        <v>High Value</v>
      </c>
    </row>
    <row r="226" spans="1:6" x14ac:dyDescent="0.25">
      <c r="A226" t="s">
        <v>328</v>
      </c>
      <c r="B226">
        <v>3351</v>
      </c>
      <c r="C226">
        <f t="shared" si="9"/>
        <v>271</v>
      </c>
      <c r="D226" s="12">
        <f t="shared" si="10"/>
        <v>3</v>
      </c>
      <c r="E226" s="8">
        <f t="shared" si="11"/>
        <v>0.90333333333333332</v>
      </c>
      <c r="F226" t="str" cm="1">
        <f t="array" ref="F226">_xlfn.IFS(
 E226&lt;=0.2,"High Value",
 E226&lt;=0.6,"Medium Value",
 TRUE,"Low Value"
)</f>
        <v>Low Value</v>
      </c>
    </row>
    <row r="227" spans="1:6" x14ac:dyDescent="0.25">
      <c r="A227" t="s">
        <v>444</v>
      </c>
      <c r="B227">
        <v>21789</v>
      </c>
      <c r="C227">
        <f t="shared" si="9"/>
        <v>13</v>
      </c>
      <c r="D227" s="12">
        <f t="shared" si="10"/>
        <v>1</v>
      </c>
      <c r="E227" s="8">
        <f t="shared" si="11"/>
        <v>4.3333333333333335E-2</v>
      </c>
      <c r="F227" t="str" cm="1">
        <f t="array" ref="F227">_xlfn.IFS(
 E227&lt;=0.2,"High Value",
 E227&lt;=0.6,"Medium Value",
 TRUE,"Low Value"
)</f>
        <v>High Value</v>
      </c>
    </row>
    <row r="228" spans="1:6" x14ac:dyDescent="0.25">
      <c r="A228" t="s">
        <v>529</v>
      </c>
      <c r="B228">
        <v>1454</v>
      </c>
      <c r="C228">
        <f t="shared" si="9"/>
        <v>292</v>
      </c>
      <c r="D228" s="12">
        <f t="shared" si="10"/>
        <v>3</v>
      </c>
      <c r="E228" s="8">
        <f t="shared" si="11"/>
        <v>0.97333333333333338</v>
      </c>
      <c r="F228" t="str" cm="1">
        <f t="array" ref="F228">_xlfn.IFS(
 E228&lt;=0.2,"High Value",
 E228&lt;=0.6,"Medium Value",
 TRUE,"Low Value"
)</f>
        <v>Low Value</v>
      </c>
    </row>
    <row r="229" spans="1:6" x14ac:dyDescent="0.25">
      <c r="A229" t="s">
        <v>607</v>
      </c>
      <c r="B229">
        <v>17131</v>
      </c>
      <c r="C229">
        <f t="shared" si="9"/>
        <v>35</v>
      </c>
      <c r="D229" s="12">
        <f t="shared" si="10"/>
        <v>1</v>
      </c>
      <c r="E229" s="8">
        <f t="shared" si="11"/>
        <v>0.11666666666666667</v>
      </c>
      <c r="F229" t="str" cm="1">
        <f t="array" ref="F229">_xlfn.IFS(
 E229&lt;=0.2,"High Value",
 E229&lt;=0.6,"Medium Value",
 TRUE,"Low Value"
)</f>
        <v>High Value</v>
      </c>
    </row>
    <row r="230" spans="1:6" x14ac:dyDescent="0.25">
      <c r="A230" t="s">
        <v>304</v>
      </c>
      <c r="B230">
        <v>13321</v>
      </c>
      <c r="C230">
        <f t="shared" si="9"/>
        <v>74</v>
      </c>
      <c r="D230" s="12">
        <f t="shared" si="10"/>
        <v>2</v>
      </c>
      <c r="E230" s="8">
        <f t="shared" si="11"/>
        <v>0.24666666666666667</v>
      </c>
      <c r="F230" t="str" cm="1">
        <f t="array" ref="F230">_xlfn.IFS(
 E230&lt;=0.2,"High Value",
 E230&lt;=0.6,"Medium Value",
 TRUE,"Low Value"
)</f>
        <v>Medium Value</v>
      </c>
    </row>
    <row r="231" spans="1:6" x14ac:dyDescent="0.25">
      <c r="A231" t="s">
        <v>494</v>
      </c>
      <c r="B231">
        <v>6913</v>
      </c>
      <c r="C231">
        <f t="shared" si="9"/>
        <v>204</v>
      </c>
      <c r="D231" s="12">
        <f t="shared" si="10"/>
        <v>3</v>
      </c>
      <c r="E231" s="8">
        <f t="shared" si="11"/>
        <v>0.68</v>
      </c>
      <c r="F231" t="str" cm="1">
        <f t="array" ref="F231">_xlfn.IFS(
 E231&lt;=0.2,"High Value",
 E231&lt;=0.6,"Medium Value",
 TRUE,"Low Value"
)</f>
        <v>Low Value</v>
      </c>
    </row>
    <row r="232" spans="1:6" x14ac:dyDescent="0.25">
      <c r="A232" t="s">
        <v>393</v>
      </c>
      <c r="B232">
        <v>6662</v>
      </c>
      <c r="C232">
        <f t="shared" si="9"/>
        <v>207</v>
      </c>
      <c r="D232" s="12">
        <f t="shared" si="10"/>
        <v>3</v>
      </c>
      <c r="E232" s="8">
        <f t="shared" si="11"/>
        <v>0.69</v>
      </c>
      <c r="F232" t="str" cm="1">
        <f t="array" ref="F232">_xlfn.IFS(
 E232&lt;=0.2,"High Value",
 E232&lt;=0.6,"Medium Value",
 TRUE,"Low Value"
)</f>
        <v>Low Value</v>
      </c>
    </row>
    <row r="233" spans="1:6" x14ac:dyDescent="0.25">
      <c r="A233" t="s">
        <v>753</v>
      </c>
      <c r="B233">
        <v>5300</v>
      </c>
      <c r="C233">
        <f t="shared" si="9"/>
        <v>234</v>
      </c>
      <c r="D233" s="12">
        <f t="shared" si="10"/>
        <v>3</v>
      </c>
      <c r="E233" s="8">
        <f t="shared" si="11"/>
        <v>0.78</v>
      </c>
      <c r="F233" t="str" cm="1">
        <f t="array" ref="F233">_xlfn.IFS(
 E233&lt;=0.2,"High Value",
 E233&lt;=0.6,"Medium Value",
 TRUE,"Low Value"
)</f>
        <v>Low Value</v>
      </c>
    </row>
    <row r="234" spans="1:6" x14ac:dyDescent="0.25">
      <c r="A234" t="s">
        <v>41</v>
      </c>
      <c r="B234">
        <v>13340</v>
      </c>
      <c r="C234">
        <f t="shared" si="9"/>
        <v>73</v>
      </c>
      <c r="D234" s="12">
        <f t="shared" si="10"/>
        <v>2</v>
      </c>
      <c r="E234" s="8">
        <f t="shared" si="11"/>
        <v>0.24333333333333335</v>
      </c>
      <c r="F234" t="str" cm="1">
        <f t="array" ref="F234">_xlfn.IFS(
 E234&lt;=0.2,"High Value",
 E234&lt;=0.6,"Medium Value",
 TRUE,"Low Value"
)</f>
        <v>Medium Value</v>
      </c>
    </row>
    <row r="235" spans="1:6" x14ac:dyDescent="0.25">
      <c r="A235" t="s">
        <v>102</v>
      </c>
      <c r="B235">
        <v>8827</v>
      </c>
      <c r="C235">
        <f t="shared" si="9"/>
        <v>162</v>
      </c>
      <c r="D235" s="12">
        <f t="shared" si="10"/>
        <v>2</v>
      </c>
      <c r="E235" s="8">
        <f t="shared" si="11"/>
        <v>0.54</v>
      </c>
      <c r="F235" t="str" cm="1">
        <f t="array" ref="F235">_xlfn.IFS(
 E235&lt;=0.2,"High Value",
 E235&lt;=0.6,"Medium Value",
 TRUE,"Low Value"
)</f>
        <v>Medium Value</v>
      </c>
    </row>
    <row r="236" spans="1:6" x14ac:dyDescent="0.25">
      <c r="A236" t="s">
        <v>538</v>
      </c>
      <c r="B236">
        <v>642</v>
      </c>
      <c r="C236">
        <f t="shared" si="9"/>
        <v>298</v>
      </c>
      <c r="D236" s="12">
        <f t="shared" si="10"/>
        <v>3</v>
      </c>
      <c r="E236" s="8">
        <f t="shared" si="11"/>
        <v>0.99333333333333329</v>
      </c>
      <c r="F236" t="str" cm="1">
        <f t="array" ref="F236">_xlfn.IFS(
 E236&lt;=0.2,"High Value",
 E236&lt;=0.6,"Medium Value",
 TRUE,"Low Value"
)</f>
        <v>Low Value</v>
      </c>
    </row>
    <row r="237" spans="1:6" x14ac:dyDescent="0.25">
      <c r="A237" t="s">
        <v>156</v>
      </c>
      <c r="B237">
        <v>21847</v>
      </c>
      <c r="C237">
        <f t="shared" si="9"/>
        <v>12</v>
      </c>
      <c r="D237" s="12">
        <f t="shared" si="10"/>
        <v>1</v>
      </c>
      <c r="E237" s="8">
        <f t="shared" si="11"/>
        <v>0.04</v>
      </c>
      <c r="F237" t="str" cm="1">
        <f t="array" ref="F237">_xlfn.IFS(
 E237&lt;=0.2,"High Value",
 E237&lt;=0.6,"Medium Value",
 TRUE,"Low Value"
)</f>
        <v>High Value</v>
      </c>
    </row>
    <row r="238" spans="1:6" x14ac:dyDescent="0.25">
      <c r="A238" t="s">
        <v>1037</v>
      </c>
      <c r="B238">
        <v>1035</v>
      </c>
      <c r="C238">
        <f t="shared" si="9"/>
        <v>296</v>
      </c>
      <c r="D238" s="12">
        <f t="shared" si="10"/>
        <v>3</v>
      </c>
      <c r="E238" s="8">
        <f t="shared" si="11"/>
        <v>0.98666666666666669</v>
      </c>
      <c r="F238" t="str" cm="1">
        <f t="array" ref="F238">_xlfn.IFS(
 E238&lt;=0.2,"High Value",
 E238&lt;=0.6,"Medium Value",
 TRUE,"Low Value"
)</f>
        <v>Low Value</v>
      </c>
    </row>
    <row r="239" spans="1:6" x14ac:dyDescent="0.25">
      <c r="A239" t="s">
        <v>360</v>
      </c>
      <c r="B239">
        <v>7466</v>
      </c>
      <c r="C239">
        <f t="shared" si="9"/>
        <v>192</v>
      </c>
      <c r="D239" s="12">
        <f t="shared" si="10"/>
        <v>3</v>
      </c>
      <c r="E239" s="8">
        <f t="shared" si="11"/>
        <v>0.64</v>
      </c>
      <c r="F239" t="str" cm="1">
        <f t="array" ref="F239">_xlfn.IFS(
 E239&lt;=0.2,"High Value",
 E239&lt;=0.6,"Medium Value",
 TRUE,"Low Value"
)</f>
        <v>Low Value</v>
      </c>
    </row>
    <row r="240" spans="1:6" x14ac:dyDescent="0.25">
      <c r="A240" t="s">
        <v>150</v>
      </c>
      <c r="B240">
        <v>3756</v>
      </c>
      <c r="C240">
        <f t="shared" si="9"/>
        <v>266</v>
      </c>
      <c r="D240" s="12">
        <f t="shared" si="10"/>
        <v>3</v>
      </c>
      <c r="E240" s="8">
        <f t="shared" si="11"/>
        <v>0.88666666666666671</v>
      </c>
      <c r="F240" t="str" cm="1">
        <f t="array" ref="F240">_xlfn.IFS(
 E240&lt;=0.2,"High Value",
 E240&lt;=0.6,"Medium Value",
 TRUE,"Low Value"
)</f>
        <v>Low Value</v>
      </c>
    </row>
    <row r="241" spans="1:6" x14ac:dyDescent="0.25">
      <c r="A241" t="s">
        <v>348</v>
      </c>
      <c r="B241">
        <v>26117</v>
      </c>
      <c r="C241">
        <f t="shared" si="9"/>
        <v>3</v>
      </c>
      <c r="D241" s="12">
        <f t="shared" si="10"/>
        <v>1</v>
      </c>
      <c r="E241" s="8">
        <f t="shared" si="11"/>
        <v>0.01</v>
      </c>
      <c r="F241" t="str" cm="1">
        <f t="array" ref="F241">_xlfn.IFS(
 E241&lt;=0.2,"High Value",
 E241&lt;=0.6,"Medium Value",
 TRUE,"Low Value"
)</f>
        <v>High Value</v>
      </c>
    </row>
    <row r="242" spans="1:6" x14ac:dyDescent="0.25">
      <c r="A242" t="s">
        <v>446</v>
      </c>
      <c r="B242">
        <v>10315</v>
      </c>
      <c r="C242">
        <f t="shared" si="9"/>
        <v>119</v>
      </c>
      <c r="D242" s="12">
        <f t="shared" si="10"/>
        <v>2</v>
      </c>
      <c r="E242" s="8">
        <f t="shared" si="11"/>
        <v>0.39666666666666667</v>
      </c>
      <c r="F242" t="str" cm="1">
        <f t="array" ref="F242">_xlfn.IFS(
 E242&lt;=0.2,"High Value",
 E242&lt;=0.6,"Medium Value",
 TRUE,"Low Value"
)</f>
        <v>Medium Value</v>
      </c>
    </row>
    <row r="243" spans="1:6" x14ac:dyDescent="0.25">
      <c r="A243" t="s">
        <v>973</v>
      </c>
      <c r="B243">
        <v>6405</v>
      </c>
      <c r="C243">
        <f t="shared" si="9"/>
        <v>212</v>
      </c>
      <c r="D243" s="12">
        <f t="shared" si="10"/>
        <v>3</v>
      </c>
      <c r="E243" s="8">
        <f t="shared" si="11"/>
        <v>0.70666666666666667</v>
      </c>
      <c r="F243" t="str" cm="1">
        <f t="array" ref="F243">_xlfn.IFS(
 E243&lt;=0.2,"High Value",
 E243&lt;=0.6,"Medium Value",
 TRUE,"Low Value"
)</f>
        <v>Low Value</v>
      </c>
    </row>
    <row r="244" spans="1:6" x14ac:dyDescent="0.25">
      <c r="A244" t="s">
        <v>1150</v>
      </c>
      <c r="B244">
        <v>2170</v>
      </c>
      <c r="C244">
        <f t="shared" si="9"/>
        <v>285</v>
      </c>
      <c r="D244" s="12">
        <f t="shared" si="10"/>
        <v>3</v>
      </c>
      <c r="E244" s="8">
        <f t="shared" si="11"/>
        <v>0.95</v>
      </c>
      <c r="F244" t="str" cm="1">
        <f t="array" ref="F244">_xlfn.IFS(
 E244&lt;=0.2,"High Value",
 E244&lt;=0.6,"Medium Value",
 TRUE,"Low Value"
)</f>
        <v>Low Value</v>
      </c>
    </row>
    <row r="245" spans="1:6" x14ac:dyDescent="0.25">
      <c r="A245" t="s">
        <v>71</v>
      </c>
      <c r="B245">
        <v>10237</v>
      </c>
      <c r="C245">
        <f t="shared" si="9"/>
        <v>123</v>
      </c>
      <c r="D245" s="12">
        <f t="shared" si="10"/>
        <v>2</v>
      </c>
      <c r="E245" s="8">
        <f t="shared" si="11"/>
        <v>0.41</v>
      </c>
      <c r="F245" t="str" cm="1">
        <f t="array" ref="F245">_xlfn.IFS(
 E245&lt;=0.2,"High Value",
 E245&lt;=0.6,"Medium Value",
 TRUE,"Low Value"
)</f>
        <v>Medium Value</v>
      </c>
    </row>
    <row r="246" spans="1:6" x14ac:dyDescent="0.25">
      <c r="A246" t="s">
        <v>76</v>
      </c>
      <c r="B246">
        <v>9534</v>
      </c>
      <c r="C246">
        <f t="shared" si="9"/>
        <v>147</v>
      </c>
      <c r="D246" s="12">
        <f t="shared" si="10"/>
        <v>2</v>
      </c>
      <c r="E246" s="8">
        <f t="shared" si="11"/>
        <v>0.49</v>
      </c>
      <c r="F246" t="str" cm="1">
        <f t="array" ref="F246">_xlfn.IFS(
 E246&lt;=0.2,"High Value",
 E246&lt;=0.6,"Medium Value",
 TRUE,"Low Value"
)</f>
        <v>Medium Value</v>
      </c>
    </row>
    <row r="247" spans="1:6" x14ac:dyDescent="0.25">
      <c r="A247" t="s">
        <v>228</v>
      </c>
      <c r="B247">
        <v>7763</v>
      </c>
      <c r="C247">
        <f t="shared" si="9"/>
        <v>188</v>
      </c>
      <c r="D247" s="12">
        <f t="shared" si="10"/>
        <v>3</v>
      </c>
      <c r="E247" s="8">
        <f t="shared" si="11"/>
        <v>0.62666666666666671</v>
      </c>
      <c r="F247" t="str" cm="1">
        <f t="array" ref="F247">_xlfn.IFS(
 E247&lt;=0.2,"High Value",
 E247&lt;=0.6,"Medium Value",
 TRUE,"Low Value"
)</f>
        <v>Low Value</v>
      </c>
    </row>
    <row r="248" spans="1:6" x14ac:dyDescent="0.25">
      <c r="A248" t="s">
        <v>100</v>
      </c>
      <c r="B248">
        <v>5020</v>
      </c>
      <c r="C248">
        <f t="shared" si="9"/>
        <v>242</v>
      </c>
      <c r="D248" s="12">
        <f t="shared" si="10"/>
        <v>3</v>
      </c>
      <c r="E248" s="8">
        <f t="shared" si="11"/>
        <v>0.80666666666666664</v>
      </c>
      <c r="F248" t="str" cm="1">
        <f t="array" ref="F248">_xlfn.IFS(
 E248&lt;=0.2,"High Value",
 E248&lt;=0.6,"Medium Value",
 TRUE,"Low Value"
)</f>
        <v>Low Value</v>
      </c>
    </row>
    <row r="249" spans="1:6" x14ac:dyDescent="0.25">
      <c r="A249" t="s">
        <v>201</v>
      </c>
      <c r="B249">
        <v>9851</v>
      </c>
      <c r="C249">
        <f t="shared" si="9"/>
        <v>138</v>
      </c>
      <c r="D249" s="12">
        <f t="shared" si="10"/>
        <v>2</v>
      </c>
      <c r="E249" s="8">
        <f t="shared" si="11"/>
        <v>0.46</v>
      </c>
      <c r="F249" t="str" cm="1">
        <f t="array" ref="F249">_xlfn.IFS(
 E249&lt;=0.2,"High Value",
 E249&lt;=0.6,"Medium Value",
 TRUE,"Low Value"
)</f>
        <v>Medium Value</v>
      </c>
    </row>
    <row r="250" spans="1:6" x14ac:dyDescent="0.25">
      <c r="A250" t="s">
        <v>1637</v>
      </c>
      <c r="B250">
        <v>4713</v>
      </c>
      <c r="C250">
        <f t="shared" si="9"/>
        <v>248</v>
      </c>
      <c r="D250" s="12">
        <f t="shared" si="10"/>
        <v>3</v>
      </c>
      <c r="E250" s="8">
        <f t="shared" si="11"/>
        <v>0.82666666666666666</v>
      </c>
      <c r="F250" t="str" cm="1">
        <f t="array" ref="F250">_xlfn.IFS(
 E250&lt;=0.2,"High Value",
 E250&lt;=0.6,"Medium Value",
 TRUE,"Low Value"
)</f>
        <v>Low Value</v>
      </c>
    </row>
    <row r="251" spans="1:6" x14ac:dyDescent="0.25">
      <c r="A251" t="s">
        <v>313</v>
      </c>
      <c r="B251">
        <v>25679</v>
      </c>
      <c r="C251">
        <f t="shared" si="9"/>
        <v>5</v>
      </c>
      <c r="D251" s="12">
        <f t="shared" si="10"/>
        <v>1</v>
      </c>
      <c r="E251" s="8">
        <f t="shared" si="11"/>
        <v>1.6666666666666666E-2</v>
      </c>
      <c r="F251" t="str" cm="1">
        <f t="array" ref="F251">_xlfn.IFS(
 E251&lt;=0.2,"High Value",
 E251&lt;=0.6,"Medium Value",
 TRUE,"Low Value"
)</f>
        <v>High Value</v>
      </c>
    </row>
    <row r="252" spans="1:6" x14ac:dyDescent="0.25">
      <c r="A252" t="s">
        <v>57</v>
      </c>
      <c r="B252">
        <v>5264</v>
      </c>
      <c r="C252">
        <f t="shared" si="9"/>
        <v>235</v>
      </c>
      <c r="D252" s="12">
        <f t="shared" si="10"/>
        <v>3</v>
      </c>
      <c r="E252" s="8">
        <f t="shared" si="11"/>
        <v>0.78333333333333333</v>
      </c>
      <c r="F252" t="str" cm="1">
        <f t="array" ref="F252">_xlfn.IFS(
 E252&lt;=0.2,"High Value",
 E252&lt;=0.6,"Medium Value",
 TRUE,"Low Value"
)</f>
        <v>Low Value</v>
      </c>
    </row>
    <row r="253" spans="1:6" x14ac:dyDescent="0.25">
      <c r="A253" t="s">
        <v>169</v>
      </c>
      <c r="B253">
        <v>19949</v>
      </c>
      <c r="C253">
        <f t="shared" si="9"/>
        <v>22</v>
      </c>
      <c r="D253" s="12">
        <f t="shared" si="10"/>
        <v>1</v>
      </c>
      <c r="E253" s="8">
        <f t="shared" si="11"/>
        <v>7.3333333333333334E-2</v>
      </c>
      <c r="F253" t="str" cm="1">
        <f t="array" ref="F253">_xlfn.IFS(
 E253&lt;=0.2,"High Value",
 E253&lt;=0.6,"Medium Value",
 TRUE,"Low Value"
)</f>
        <v>High Value</v>
      </c>
    </row>
    <row r="254" spans="1:6" x14ac:dyDescent="0.25">
      <c r="A254" t="s">
        <v>336</v>
      </c>
      <c r="B254">
        <v>13395</v>
      </c>
      <c r="C254">
        <f t="shared" si="9"/>
        <v>72</v>
      </c>
      <c r="D254" s="12">
        <f t="shared" si="10"/>
        <v>2</v>
      </c>
      <c r="E254" s="8">
        <f t="shared" si="11"/>
        <v>0.24</v>
      </c>
      <c r="F254" t="str" cm="1">
        <f t="array" ref="F254">_xlfn.IFS(
 E254&lt;=0.2,"High Value",
 E254&lt;=0.6,"Medium Value",
 TRUE,"Low Value"
)</f>
        <v>Medium Value</v>
      </c>
    </row>
    <row r="255" spans="1:6" x14ac:dyDescent="0.25">
      <c r="A255" t="s">
        <v>362</v>
      </c>
      <c r="B255">
        <v>14266</v>
      </c>
      <c r="C255">
        <f t="shared" si="9"/>
        <v>59</v>
      </c>
      <c r="D255" s="12">
        <f t="shared" si="10"/>
        <v>1</v>
      </c>
      <c r="E255" s="8">
        <f t="shared" si="11"/>
        <v>0.19666666666666666</v>
      </c>
      <c r="F255" t="str" cm="1">
        <f t="array" ref="F255">_xlfn.IFS(
 E255&lt;=0.2,"High Value",
 E255&lt;=0.6,"Medium Value",
 TRUE,"Low Value"
)</f>
        <v>High Value</v>
      </c>
    </row>
    <row r="256" spans="1:6" x14ac:dyDescent="0.25">
      <c r="A256" t="s">
        <v>92</v>
      </c>
      <c r="B256">
        <v>2250</v>
      </c>
      <c r="C256">
        <f t="shared" si="9"/>
        <v>283</v>
      </c>
      <c r="D256" s="12">
        <f t="shared" si="10"/>
        <v>3</v>
      </c>
      <c r="E256" s="8">
        <f t="shared" si="11"/>
        <v>0.94333333333333336</v>
      </c>
      <c r="F256" t="str" cm="1">
        <f t="array" ref="F256">_xlfn.IFS(
 E256&lt;=0.2,"High Value",
 E256&lt;=0.6,"Medium Value",
 TRUE,"Low Value"
)</f>
        <v>Low Value</v>
      </c>
    </row>
    <row r="257" spans="1:6" x14ac:dyDescent="0.25">
      <c r="A257" t="s">
        <v>65</v>
      </c>
      <c r="B257">
        <v>7938</v>
      </c>
      <c r="C257">
        <f t="shared" si="9"/>
        <v>184</v>
      </c>
      <c r="D257" s="12">
        <f t="shared" si="10"/>
        <v>3</v>
      </c>
      <c r="E257" s="8">
        <f t="shared" si="11"/>
        <v>0.61333333333333329</v>
      </c>
      <c r="F257" t="str" cm="1">
        <f t="array" ref="F257">_xlfn.IFS(
 E257&lt;=0.2,"High Value",
 E257&lt;=0.6,"Medium Value",
 TRUE,"Low Value"
)</f>
        <v>Low Value</v>
      </c>
    </row>
    <row r="258" spans="1:6" x14ac:dyDescent="0.25">
      <c r="A258" t="s">
        <v>936</v>
      </c>
      <c r="B258">
        <v>2685</v>
      </c>
      <c r="C258">
        <f t="shared" si="9"/>
        <v>278</v>
      </c>
      <c r="D258" s="12">
        <f t="shared" si="10"/>
        <v>3</v>
      </c>
      <c r="E258" s="8">
        <f t="shared" si="11"/>
        <v>0.92666666666666664</v>
      </c>
      <c r="F258" t="str" cm="1">
        <f t="array" ref="F258">_xlfn.IFS(
 E258&lt;=0.2,"High Value",
 E258&lt;=0.6,"Medium Value",
 TRUE,"Low Value"
)</f>
        <v>Low Value</v>
      </c>
    </row>
    <row r="259" spans="1:6" x14ac:dyDescent="0.25">
      <c r="A259" t="s">
        <v>1431</v>
      </c>
      <c r="B259">
        <v>1160</v>
      </c>
      <c r="C259">
        <f t="shared" ref="C259:C302" si="12">_xlfn.RANK.EQ(B259,$B$3:$B$302)</f>
        <v>295</v>
      </c>
      <c r="D259" s="12">
        <f t="shared" ref="D259:D322" si="13">IF(E259&lt;=0.2,1,IF(E259&lt;=0.6,2,3))</f>
        <v>3</v>
      </c>
      <c r="E259" s="8">
        <f t="shared" si="11"/>
        <v>0.98333333333333328</v>
      </c>
      <c r="F259" t="str" cm="1">
        <f t="array" ref="F259">_xlfn.IFS(
 E259&lt;=0.2,"High Value",
 E259&lt;=0.6,"Medium Value",
 TRUE,"Low Value"
)</f>
        <v>Low Value</v>
      </c>
    </row>
    <row r="260" spans="1:6" x14ac:dyDescent="0.25">
      <c r="A260" t="s">
        <v>113</v>
      </c>
      <c r="B260">
        <v>7394</v>
      </c>
      <c r="C260">
        <f t="shared" si="12"/>
        <v>193</v>
      </c>
      <c r="D260" s="12">
        <f t="shared" si="13"/>
        <v>3</v>
      </c>
      <c r="E260" s="8">
        <f t="shared" ref="E260:E302" si="14">_xlfn.RANK.EQ(B260,$B$3:$B$302)/COUNT($B$3:$B$302)</f>
        <v>0.64333333333333331</v>
      </c>
      <c r="F260" t="str" cm="1">
        <f t="array" ref="F260">_xlfn.IFS(
 E260&lt;=0.2,"High Value",
 E260&lt;=0.6,"Medium Value",
 TRUE,"Low Value"
)</f>
        <v>Low Value</v>
      </c>
    </row>
    <row r="261" spans="1:6" x14ac:dyDescent="0.25">
      <c r="A261" t="s">
        <v>889</v>
      </c>
      <c r="B261">
        <v>6257</v>
      </c>
      <c r="C261">
        <f t="shared" si="12"/>
        <v>213</v>
      </c>
      <c r="D261" s="12">
        <f t="shared" si="13"/>
        <v>3</v>
      </c>
      <c r="E261" s="8">
        <f t="shared" si="14"/>
        <v>0.71</v>
      </c>
      <c r="F261" t="str" cm="1">
        <f t="array" ref="F261">_xlfn.IFS(
 E261&lt;=0.2,"High Value",
 E261&lt;=0.6,"Medium Value",
 TRUE,"Low Value"
)</f>
        <v>Low Value</v>
      </c>
    </row>
    <row r="262" spans="1:6" x14ac:dyDescent="0.25">
      <c r="A262" t="s">
        <v>130</v>
      </c>
      <c r="B262">
        <v>17164</v>
      </c>
      <c r="C262">
        <f t="shared" si="12"/>
        <v>33</v>
      </c>
      <c r="D262" s="12">
        <f t="shared" si="13"/>
        <v>1</v>
      </c>
      <c r="E262" s="8">
        <f t="shared" si="14"/>
        <v>0.11</v>
      </c>
      <c r="F262" t="str" cm="1">
        <f t="array" ref="F262">_xlfn.IFS(
 E262&lt;=0.2,"High Value",
 E262&lt;=0.6,"Medium Value",
 TRUE,"Low Value"
)</f>
        <v>High Value</v>
      </c>
    </row>
    <row r="263" spans="1:6" x14ac:dyDescent="0.25">
      <c r="A263" t="s">
        <v>401</v>
      </c>
      <c r="B263">
        <v>10692</v>
      </c>
      <c r="C263">
        <f t="shared" si="12"/>
        <v>112</v>
      </c>
      <c r="D263" s="12">
        <f t="shared" si="13"/>
        <v>2</v>
      </c>
      <c r="E263" s="8">
        <f t="shared" si="14"/>
        <v>0.37333333333333335</v>
      </c>
      <c r="F263" t="str" cm="1">
        <f t="array" ref="F263">_xlfn.IFS(
 E263&lt;=0.2,"High Value",
 E263&lt;=0.6,"Medium Value",
 TRUE,"Low Value"
)</f>
        <v>Medium Value</v>
      </c>
    </row>
    <row r="264" spans="1:6" x14ac:dyDescent="0.25">
      <c r="A264" t="s">
        <v>119</v>
      </c>
      <c r="B264">
        <v>15993</v>
      </c>
      <c r="C264">
        <f t="shared" si="12"/>
        <v>42</v>
      </c>
      <c r="D264" s="12">
        <f t="shared" si="13"/>
        <v>1</v>
      </c>
      <c r="E264" s="8">
        <f t="shared" si="14"/>
        <v>0.14000000000000001</v>
      </c>
      <c r="F264" t="str" cm="1">
        <f t="array" ref="F264">_xlfn.IFS(
 E264&lt;=0.2,"High Value",
 E264&lt;=0.6,"Medium Value",
 TRUE,"Low Value"
)</f>
        <v>High Value</v>
      </c>
    </row>
    <row r="265" spans="1:6" x14ac:dyDescent="0.25">
      <c r="A265" t="s">
        <v>929</v>
      </c>
      <c r="B265">
        <v>7383</v>
      </c>
      <c r="C265">
        <f t="shared" si="12"/>
        <v>195</v>
      </c>
      <c r="D265" s="12">
        <f t="shared" si="13"/>
        <v>3</v>
      </c>
      <c r="E265" s="8">
        <f t="shared" si="14"/>
        <v>0.65</v>
      </c>
      <c r="F265" t="str" cm="1">
        <f t="array" ref="F265">_xlfn.IFS(
 E265&lt;=0.2,"High Value",
 E265&lt;=0.6,"Medium Value",
 TRUE,"Low Value"
)</f>
        <v>Low Value</v>
      </c>
    </row>
    <row r="266" spans="1:6" x14ac:dyDescent="0.25">
      <c r="A266" t="s">
        <v>704</v>
      </c>
      <c r="B266">
        <v>8661</v>
      </c>
      <c r="C266">
        <f t="shared" si="12"/>
        <v>166</v>
      </c>
      <c r="D266" s="12">
        <f t="shared" si="13"/>
        <v>2</v>
      </c>
      <c r="E266" s="8">
        <f t="shared" si="14"/>
        <v>0.55333333333333334</v>
      </c>
      <c r="F266" t="str" cm="1">
        <f t="array" ref="F266">_xlfn.IFS(
 E266&lt;=0.2,"High Value",
 E266&lt;=0.6,"Medium Value",
 TRUE,"Low Value"
)</f>
        <v>Medium Value</v>
      </c>
    </row>
    <row r="267" spans="1:6" x14ac:dyDescent="0.25">
      <c r="A267" t="s">
        <v>1184</v>
      </c>
      <c r="B267">
        <v>5730</v>
      </c>
      <c r="C267">
        <f t="shared" si="12"/>
        <v>221</v>
      </c>
      <c r="D267" s="12">
        <f t="shared" si="13"/>
        <v>3</v>
      </c>
      <c r="E267" s="8">
        <f t="shared" si="14"/>
        <v>0.73666666666666669</v>
      </c>
      <c r="F267" t="str" cm="1">
        <f t="array" ref="F267">_xlfn.IFS(
 E267&lt;=0.2,"High Value",
 E267&lt;=0.6,"Medium Value",
 TRUE,"Low Value"
)</f>
        <v>Low Value</v>
      </c>
    </row>
    <row r="268" spans="1:6" x14ac:dyDescent="0.25">
      <c r="A268" t="s">
        <v>197</v>
      </c>
      <c r="B268">
        <v>19965</v>
      </c>
      <c r="C268">
        <f t="shared" si="12"/>
        <v>21</v>
      </c>
      <c r="D268" s="12">
        <f t="shared" si="13"/>
        <v>1</v>
      </c>
      <c r="E268" s="8">
        <f t="shared" si="14"/>
        <v>7.0000000000000007E-2</v>
      </c>
      <c r="F268" t="str" cm="1">
        <f t="array" ref="F268">_xlfn.IFS(
 E268&lt;=0.2,"High Value",
 E268&lt;=0.6,"Medium Value",
 TRUE,"Low Value"
)</f>
        <v>High Value</v>
      </c>
    </row>
    <row r="269" spans="1:6" x14ac:dyDescent="0.25">
      <c r="A269" t="s">
        <v>435</v>
      </c>
      <c r="B269">
        <v>5654</v>
      </c>
      <c r="C269">
        <f t="shared" si="12"/>
        <v>227</v>
      </c>
      <c r="D269" s="12">
        <f t="shared" si="13"/>
        <v>3</v>
      </c>
      <c r="E269" s="8">
        <f t="shared" si="14"/>
        <v>0.75666666666666671</v>
      </c>
      <c r="F269" t="str" cm="1">
        <f t="array" ref="F269">_xlfn.IFS(
 E269&lt;=0.2,"High Value",
 E269&lt;=0.6,"Medium Value",
 TRUE,"Low Value"
)</f>
        <v>Low Value</v>
      </c>
    </row>
    <row r="270" spans="1:6" x14ac:dyDescent="0.25">
      <c r="A270" t="s">
        <v>55</v>
      </c>
      <c r="B270">
        <v>8083</v>
      </c>
      <c r="C270">
        <f t="shared" si="12"/>
        <v>181</v>
      </c>
      <c r="D270" s="12">
        <f t="shared" si="13"/>
        <v>3</v>
      </c>
      <c r="E270" s="8">
        <f t="shared" si="14"/>
        <v>0.60333333333333339</v>
      </c>
      <c r="F270" t="str" cm="1">
        <f t="array" ref="F270">_xlfn.IFS(
 E270&lt;=0.2,"High Value",
 E270&lt;=0.6,"Medium Value",
 TRUE,"Low Value"
)</f>
        <v>Low Value</v>
      </c>
    </row>
    <row r="271" spans="1:6" x14ac:dyDescent="0.25">
      <c r="A271" t="s">
        <v>369</v>
      </c>
      <c r="B271">
        <v>9600</v>
      </c>
      <c r="C271">
        <f t="shared" si="12"/>
        <v>146</v>
      </c>
      <c r="D271" s="12">
        <f t="shared" si="13"/>
        <v>2</v>
      </c>
      <c r="E271" s="8">
        <f t="shared" si="14"/>
        <v>0.48666666666666669</v>
      </c>
      <c r="F271" t="str" cm="1">
        <f t="array" ref="F271">_xlfn.IFS(
 E271&lt;=0.2,"High Value",
 E271&lt;=0.6,"Medium Value",
 TRUE,"Low Value"
)</f>
        <v>Medium Value</v>
      </c>
    </row>
    <row r="272" spans="1:6" x14ac:dyDescent="0.25">
      <c r="A272" t="s">
        <v>69</v>
      </c>
      <c r="B272">
        <v>10421</v>
      </c>
      <c r="C272">
        <f t="shared" si="12"/>
        <v>117</v>
      </c>
      <c r="D272" s="12">
        <f t="shared" si="13"/>
        <v>2</v>
      </c>
      <c r="E272" s="8">
        <f t="shared" si="14"/>
        <v>0.39</v>
      </c>
      <c r="F272" t="str" cm="1">
        <f t="array" ref="F272">_xlfn.IFS(
 E272&lt;=0.2,"High Value",
 E272&lt;=0.6,"Medium Value",
 TRUE,"Low Value"
)</f>
        <v>Medium Value</v>
      </c>
    </row>
    <row r="273" spans="1:6" x14ac:dyDescent="0.25">
      <c r="A273" t="s">
        <v>61</v>
      </c>
      <c r="B273">
        <v>6005</v>
      </c>
      <c r="C273">
        <f t="shared" si="12"/>
        <v>216</v>
      </c>
      <c r="D273" s="12">
        <f t="shared" si="13"/>
        <v>3</v>
      </c>
      <c r="E273" s="8">
        <f t="shared" si="14"/>
        <v>0.72</v>
      </c>
      <c r="F273" t="str" cm="1">
        <f t="array" ref="F273">_xlfn.IFS(
 E273&lt;=0.2,"High Value",
 E273&lt;=0.6,"Medium Value",
 TRUE,"Low Value"
)</f>
        <v>Low Value</v>
      </c>
    </row>
    <row r="274" spans="1:6" x14ac:dyDescent="0.25">
      <c r="A274" t="s">
        <v>236</v>
      </c>
      <c r="B274">
        <v>4829</v>
      </c>
      <c r="C274">
        <f t="shared" si="12"/>
        <v>245</v>
      </c>
      <c r="D274" s="12">
        <f t="shared" si="13"/>
        <v>3</v>
      </c>
      <c r="E274" s="8">
        <f t="shared" si="14"/>
        <v>0.81666666666666665</v>
      </c>
      <c r="F274" t="str" cm="1">
        <f t="array" ref="F274">_xlfn.IFS(
 E274&lt;=0.2,"High Value",
 E274&lt;=0.6,"Medium Value",
 TRUE,"Low Value"
)</f>
        <v>Low Value</v>
      </c>
    </row>
    <row r="275" spans="1:6" x14ac:dyDescent="0.25">
      <c r="A275" t="s">
        <v>371</v>
      </c>
      <c r="B275">
        <v>12337</v>
      </c>
      <c r="C275">
        <f t="shared" si="12"/>
        <v>90</v>
      </c>
      <c r="D275" s="12">
        <f t="shared" si="13"/>
        <v>2</v>
      </c>
      <c r="E275" s="8">
        <f t="shared" si="14"/>
        <v>0.3</v>
      </c>
      <c r="F275" t="str" cm="1">
        <f t="array" ref="F275">_xlfn.IFS(
 E275&lt;=0.2,"High Value",
 E275&lt;=0.6,"Medium Value",
 TRUE,"Low Value"
)</f>
        <v>Medium Value</v>
      </c>
    </row>
    <row r="276" spans="1:6" x14ac:dyDescent="0.25">
      <c r="A276" t="s">
        <v>633</v>
      </c>
      <c r="B276">
        <v>7790</v>
      </c>
      <c r="C276">
        <f t="shared" si="12"/>
        <v>187</v>
      </c>
      <c r="D276" s="12">
        <f t="shared" si="13"/>
        <v>3</v>
      </c>
      <c r="E276" s="8">
        <f t="shared" si="14"/>
        <v>0.62333333333333329</v>
      </c>
      <c r="F276" t="str" cm="1">
        <f t="array" ref="F276">_xlfn.IFS(
 E276&lt;=0.2,"High Value",
 E276&lt;=0.6,"Medium Value",
 TRUE,"Low Value"
)</f>
        <v>Low Value</v>
      </c>
    </row>
    <row r="277" spans="1:6" x14ac:dyDescent="0.25">
      <c r="A277" t="s">
        <v>1265</v>
      </c>
      <c r="B277">
        <v>6024</v>
      </c>
      <c r="C277">
        <f t="shared" si="12"/>
        <v>214</v>
      </c>
      <c r="D277" s="12">
        <f t="shared" si="13"/>
        <v>3</v>
      </c>
      <c r="E277" s="8">
        <f t="shared" si="14"/>
        <v>0.71333333333333337</v>
      </c>
      <c r="F277" t="str" cm="1">
        <f t="array" ref="F277">_xlfn.IFS(
 E277&lt;=0.2,"High Value",
 E277&lt;=0.6,"Medium Value",
 TRUE,"Low Value"
)</f>
        <v>Low Value</v>
      </c>
    </row>
    <row r="278" spans="1:6" x14ac:dyDescent="0.25">
      <c r="A278" t="s">
        <v>9</v>
      </c>
      <c r="B278">
        <v>7826</v>
      </c>
      <c r="C278">
        <f t="shared" si="12"/>
        <v>186</v>
      </c>
      <c r="D278" s="12">
        <f t="shared" si="13"/>
        <v>3</v>
      </c>
      <c r="E278" s="8">
        <f t="shared" si="14"/>
        <v>0.62</v>
      </c>
      <c r="F278" t="str" cm="1">
        <f t="array" ref="F278">_xlfn.IFS(
 E278&lt;=0.2,"High Value",
 E278&lt;=0.6,"Medium Value",
 TRUE,"Low Value"
)</f>
        <v>Low Value</v>
      </c>
    </row>
    <row r="279" spans="1:6" x14ac:dyDescent="0.25">
      <c r="A279" t="s">
        <v>1181</v>
      </c>
      <c r="B279">
        <v>1929</v>
      </c>
      <c r="C279">
        <f t="shared" si="12"/>
        <v>288</v>
      </c>
      <c r="D279" s="12">
        <f t="shared" si="13"/>
        <v>3</v>
      </c>
      <c r="E279" s="8">
        <f t="shared" si="14"/>
        <v>0.96</v>
      </c>
      <c r="F279" t="str" cm="1">
        <f t="array" ref="F279">_xlfn.IFS(
 E279&lt;=0.2,"High Value",
 E279&lt;=0.6,"Medium Value",
 TRUE,"Low Value"
)</f>
        <v>Low Value</v>
      </c>
    </row>
    <row r="280" spans="1:6" x14ac:dyDescent="0.25">
      <c r="A280" t="s">
        <v>345</v>
      </c>
      <c r="B280">
        <v>14143</v>
      </c>
      <c r="C280">
        <f t="shared" si="12"/>
        <v>61</v>
      </c>
      <c r="D280" s="12">
        <f t="shared" si="13"/>
        <v>2</v>
      </c>
      <c r="E280" s="8">
        <f t="shared" si="14"/>
        <v>0.20333333333333334</v>
      </c>
      <c r="F280" t="str" cm="1">
        <f t="array" ref="F280">_xlfn.IFS(
 E280&lt;=0.2,"High Value",
 E280&lt;=0.6,"Medium Value",
 TRUE,"Low Value"
)</f>
        <v>Medium Value</v>
      </c>
    </row>
    <row r="281" spans="1:6" x14ac:dyDescent="0.25">
      <c r="A281" t="s">
        <v>132</v>
      </c>
      <c r="B281">
        <v>9320</v>
      </c>
      <c r="C281">
        <f t="shared" si="12"/>
        <v>152</v>
      </c>
      <c r="D281" s="12">
        <f t="shared" si="13"/>
        <v>2</v>
      </c>
      <c r="E281" s="8">
        <f t="shared" si="14"/>
        <v>0.50666666666666671</v>
      </c>
      <c r="F281" t="str" cm="1">
        <f t="array" ref="F281">_xlfn.IFS(
 E281&lt;=0.2,"High Value",
 E281&lt;=0.6,"Medium Value",
 TRUE,"Low Value"
)</f>
        <v>Medium Value</v>
      </c>
    </row>
    <row r="282" spans="1:6" x14ac:dyDescent="0.25">
      <c r="A282" t="s">
        <v>744</v>
      </c>
      <c r="B282">
        <v>4484</v>
      </c>
      <c r="C282">
        <f t="shared" si="12"/>
        <v>253</v>
      </c>
      <c r="D282" s="12">
        <f t="shared" si="13"/>
        <v>3</v>
      </c>
      <c r="E282" s="8">
        <f t="shared" si="14"/>
        <v>0.84333333333333338</v>
      </c>
      <c r="F282" t="str" cm="1">
        <f t="array" ref="F282">_xlfn.IFS(
 E282&lt;=0.2,"High Value",
 E282&lt;=0.6,"Medium Value",
 TRUE,"Low Value"
)</f>
        <v>Low Value</v>
      </c>
    </row>
    <row r="283" spans="1:6" x14ac:dyDescent="0.25">
      <c r="A283" t="s">
        <v>136</v>
      </c>
      <c r="B283">
        <v>21258</v>
      </c>
      <c r="C283">
        <f t="shared" si="12"/>
        <v>15</v>
      </c>
      <c r="D283" s="12">
        <f t="shared" si="13"/>
        <v>1</v>
      </c>
      <c r="E283" s="8">
        <f t="shared" si="14"/>
        <v>0.05</v>
      </c>
      <c r="F283" t="str" cm="1">
        <f t="array" ref="F283">_xlfn.IFS(
 E283&lt;=0.2,"High Value",
 E283&lt;=0.6,"Medium Value",
 TRUE,"Low Value"
)</f>
        <v>High Value</v>
      </c>
    </row>
    <row r="284" spans="1:6" x14ac:dyDescent="0.25">
      <c r="A284" t="s">
        <v>322</v>
      </c>
      <c r="B284">
        <v>19144</v>
      </c>
      <c r="C284">
        <f t="shared" si="12"/>
        <v>26</v>
      </c>
      <c r="D284" s="12">
        <f t="shared" si="13"/>
        <v>1</v>
      </c>
      <c r="E284" s="8">
        <f t="shared" si="14"/>
        <v>8.666666666666667E-2</v>
      </c>
      <c r="F284" t="str" cm="1">
        <f t="array" ref="F284">_xlfn.IFS(
 E284&lt;=0.2,"High Value",
 E284&lt;=0.6,"Medium Value",
 TRUE,"Low Value"
)</f>
        <v>High Value</v>
      </c>
    </row>
    <row r="285" spans="1:6" x14ac:dyDescent="0.25">
      <c r="A285" t="s">
        <v>1096</v>
      </c>
      <c r="B285">
        <v>6449</v>
      </c>
      <c r="C285">
        <f t="shared" si="12"/>
        <v>211</v>
      </c>
      <c r="D285" s="12">
        <f t="shared" si="13"/>
        <v>3</v>
      </c>
      <c r="E285" s="8">
        <f t="shared" si="14"/>
        <v>0.70333333333333337</v>
      </c>
      <c r="F285" t="str" cm="1">
        <f t="array" ref="F285">_xlfn.IFS(
 E285&lt;=0.2,"High Value",
 E285&lt;=0.6,"Medium Value",
 TRUE,"Low Value"
)</f>
        <v>Low Value</v>
      </c>
    </row>
    <row r="286" spans="1:6" x14ac:dyDescent="0.25">
      <c r="A286" t="s">
        <v>618</v>
      </c>
      <c r="B286">
        <v>13884</v>
      </c>
      <c r="C286">
        <f t="shared" si="12"/>
        <v>64</v>
      </c>
      <c r="D286" s="12">
        <f t="shared" si="13"/>
        <v>2</v>
      </c>
      <c r="E286" s="8">
        <f t="shared" si="14"/>
        <v>0.21333333333333335</v>
      </c>
      <c r="F286" t="str" cm="1">
        <f t="array" ref="F286">_xlfn.IFS(
 E286&lt;=0.2,"High Value",
 E286&lt;=0.6,"Medium Value",
 TRUE,"Low Value"
)</f>
        <v>Medium Value</v>
      </c>
    </row>
    <row r="287" spans="1:6" x14ac:dyDescent="0.25">
      <c r="A287" t="s">
        <v>551</v>
      </c>
      <c r="B287">
        <v>17490</v>
      </c>
      <c r="C287">
        <f t="shared" si="12"/>
        <v>30</v>
      </c>
      <c r="D287" s="12">
        <f t="shared" si="13"/>
        <v>1</v>
      </c>
      <c r="E287" s="8">
        <f t="shared" si="14"/>
        <v>0.1</v>
      </c>
      <c r="F287" t="str" cm="1">
        <f t="array" ref="F287">_xlfn.IFS(
 E287&lt;=0.2,"High Value",
 E287&lt;=0.6,"Medium Value",
 TRUE,"Low Value"
)</f>
        <v>High Value</v>
      </c>
    </row>
    <row r="288" spans="1:6" x14ac:dyDescent="0.25">
      <c r="A288" t="s">
        <v>166</v>
      </c>
      <c r="B288">
        <v>4039</v>
      </c>
      <c r="C288">
        <f t="shared" si="12"/>
        <v>261</v>
      </c>
      <c r="D288" s="12">
        <f t="shared" si="13"/>
        <v>3</v>
      </c>
      <c r="E288" s="8">
        <f t="shared" si="14"/>
        <v>0.87</v>
      </c>
      <c r="F288" t="str" cm="1">
        <f t="array" ref="F288">_xlfn.IFS(
 E288&lt;=0.2,"High Value",
 E288&lt;=0.6,"Medium Value",
 TRUE,"Low Value"
)</f>
        <v>Low Value</v>
      </c>
    </row>
    <row r="289" spans="1:6" x14ac:dyDescent="0.25">
      <c r="A289" t="s">
        <v>252</v>
      </c>
      <c r="B289">
        <v>25991</v>
      </c>
      <c r="C289">
        <f t="shared" si="12"/>
        <v>4</v>
      </c>
      <c r="D289" s="12">
        <f t="shared" si="13"/>
        <v>1</v>
      </c>
      <c r="E289" s="8">
        <f t="shared" si="14"/>
        <v>1.3333333333333334E-2</v>
      </c>
      <c r="F289" t="str" cm="1">
        <f t="array" ref="F289">_xlfn.IFS(
 E289&lt;=0.2,"High Value",
 E289&lt;=0.6,"Medium Value",
 TRUE,"Low Value"
)</f>
        <v>High Value</v>
      </c>
    </row>
    <row r="290" spans="1:6" x14ac:dyDescent="0.25">
      <c r="A290" t="s">
        <v>874</v>
      </c>
      <c r="B290">
        <v>11721</v>
      </c>
      <c r="C290">
        <f t="shared" si="12"/>
        <v>96</v>
      </c>
      <c r="D290" s="12">
        <f t="shared" si="13"/>
        <v>2</v>
      </c>
      <c r="E290" s="8">
        <f t="shared" si="14"/>
        <v>0.32</v>
      </c>
      <c r="F290" t="str" cm="1">
        <f t="array" ref="F290">_xlfn.IFS(
 E290&lt;=0.2,"High Value",
 E290&lt;=0.6,"Medium Value",
 TRUE,"Low Value"
)</f>
        <v>Medium Value</v>
      </c>
    </row>
    <row r="291" spans="1:6" x14ac:dyDescent="0.25">
      <c r="A291" t="s">
        <v>161</v>
      </c>
      <c r="B291">
        <v>15127</v>
      </c>
      <c r="C291">
        <f t="shared" si="12"/>
        <v>50</v>
      </c>
      <c r="D291" s="12">
        <f t="shared" si="13"/>
        <v>1</v>
      </c>
      <c r="E291" s="8">
        <f t="shared" si="14"/>
        <v>0.16666666666666666</v>
      </c>
      <c r="F291" t="str" cm="1">
        <f t="array" ref="F291">_xlfn.IFS(
 E291&lt;=0.2,"High Value",
 E291&lt;=0.6,"Medium Value",
 TRUE,"Low Value"
)</f>
        <v>High Value</v>
      </c>
    </row>
    <row r="292" spans="1:6" x14ac:dyDescent="0.25">
      <c r="A292" t="s">
        <v>330</v>
      </c>
      <c r="B292">
        <v>5721</v>
      </c>
      <c r="C292">
        <f t="shared" si="12"/>
        <v>222</v>
      </c>
      <c r="D292" s="12">
        <f t="shared" si="13"/>
        <v>3</v>
      </c>
      <c r="E292" s="8">
        <f t="shared" si="14"/>
        <v>0.74</v>
      </c>
      <c r="F292" t="str" cm="1">
        <f t="array" ref="F292">_xlfn.IFS(
 E292&lt;=0.2,"High Value",
 E292&lt;=0.6,"Medium Value",
 TRUE,"Low Value"
)</f>
        <v>Low Value</v>
      </c>
    </row>
    <row r="293" spans="1:6" x14ac:dyDescent="0.25">
      <c r="A293" t="s">
        <v>63</v>
      </c>
      <c r="B293">
        <v>8046</v>
      </c>
      <c r="C293">
        <f t="shared" si="12"/>
        <v>182</v>
      </c>
      <c r="D293" s="12">
        <f t="shared" si="13"/>
        <v>3</v>
      </c>
      <c r="E293" s="8">
        <f t="shared" si="14"/>
        <v>0.60666666666666669</v>
      </c>
      <c r="F293" t="str" cm="1">
        <f t="array" ref="F293">_xlfn.IFS(
 E293&lt;=0.2,"High Value",
 E293&lt;=0.6,"Medium Value",
 TRUE,"Low Value"
)</f>
        <v>Low Value</v>
      </c>
    </row>
    <row r="294" spans="1:6" x14ac:dyDescent="0.25">
      <c r="A294" t="s">
        <v>589</v>
      </c>
      <c r="B294">
        <v>15104</v>
      </c>
      <c r="C294">
        <f t="shared" si="12"/>
        <v>51</v>
      </c>
      <c r="D294" s="12">
        <f t="shared" si="13"/>
        <v>1</v>
      </c>
      <c r="E294" s="8">
        <f t="shared" si="14"/>
        <v>0.17</v>
      </c>
      <c r="F294" t="str" cm="1">
        <f t="array" ref="F294">_xlfn.IFS(
 E294&lt;=0.2,"High Value",
 E294&lt;=0.6,"Medium Value",
 TRUE,"Low Value"
)</f>
        <v>High Value</v>
      </c>
    </row>
    <row r="295" spans="1:6" x14ac:dyDescent="0.25">
      <c r="A295" t="s">
        <v>191</v>
      </c>
      <c r="B295">
        <v>3864</v>
      </c>
      <c r="C295">
        <f t="shared" si="12"/>
        <v>264</v>
      </c>
      <c r="D295" s="12">
        <f t="shared" si="13"/>
        <v>3</v>
      </c>
      <c r="E295" s="8">
        <f t="shared" si="14"/>
        <v>0.88</v>
      </c>
      <c r="F295" t="str" cm="1">
        <f t="array" ref="F295">_xlfn.IFS(
 E295&lt;=0.2,"High Value",
 E295&lt;=0.6,"Medium Value",
 TRUE,"Low Value"
)</f>
        <v>Low Value</v>
      </c>
    </row>
    <row r="296" spans="1:6" x14ac:dyDescent="0.25">
      <c r="A296" t="s">
        <v>598</v>
      </c>
      <c r="B296">
        <v>5665</v>
      </c>
      <c r="C296">
        <f t="shared" si="12"/>
        <v>225</v>
      </c>
      <c r="D296" s="12">
        <f t="shared" si="13"/>
        <v>3</v>
      </c>
      <c r="E296" s="8">
        <f t="shared" si="14"/>
        <v>0.75</v>
      </c>
      <c r="F296" t="str" cm="1">
        <f t="array" ref="F296">_xlfn.IFS(
 E296&lt;=0.2,"High Value",
 E296&lt;=0.6,"Medium Value",
 TRUE,"Low Value"
)</f>
        <v>Low Value</v>
      </c>
    </row>
    <row r="297" spans="1:6" x14ac:dyDescent="0.25">
      <c r="A297" t="s">
        <v>560</v>
      </c>
      <c r="B297">
        <v>7287</v>
      </c>
      <c r="C297">
        <f t="shared" si="12"/>
        <v>196</v>
      </c>
      <c r="D297" s="12">
        <f t="shared" si="13"/>
        <v>3</v>
      </c>
      <c r="E297" s="8">
        <f t="shared" si="14"/>
        <v>0.65333333333333332</v>
      </c>
      <c r="F297" t="str" cm="1">
        <f t="array" ref="F297">_xlfn.IFS(
 E297&lt;=0.2,"High Value",
 E297&lt;=0.6,"Medium Value",
 TRUE,"Low Value"
)</f>
        <v>Low Value</v>
      </c>
    </row>
    <row r="298" spans="1:6" x14ac:dyDescent="0.25">
      <c r="A298" t="s">
        <v>49</v>
      </c>
      <c r="B298">
        <v>9034</v>
      </c>
      <c r="C298">
        <f t="shared" si="12"/>
        <v>160</v>
      </c>
      <c r="D298" s="12">
        <f t="shared" si="13"/>
        <v>2</v>
      </c>
      <c r="E298" s="8">
        <f t="shared" si="14"/>
        <v>0.53333333333333333</v>
      </c>
      <c r="F298" t="str" cm="1">
        <f t="array" ref="F298">_xlfn.IFS(
 E298&lt;=0.2,"High Value",
 E298&lt;=0.6,"Medium Value",
 TRUE,"Low Value"
)</f>
        <v>Medium Value</v>
      </c>
    </row>
    <row r="299" spans="1:6" x14ac:dyDescent="0.25">
      <c r="A299" t="s">
        <v>94</v>
      </c>
      <c r="B299">
        <v>13737</v>
      </c>
      <c r="C299">
        <f t="shared" si="12"/>
        <v>65</v>
      </c>
      <c r="D299" s="12">
        <f t="shared" si="13"/>
        <v>2</v>
      </c>
      <c r="E299" s="8">
        <f t="shared" si="14"/>
        <v>0.21666666666666667</v>
      </c>
      <c r="F299" t="str" cm="1">
        <f t="array" ref="F299">_xlfn.IFS(
 E299&lt;=0.2,"High Value",
 E299&lt;=0.6,"Medium Value",
 TRUE,"Low Value"
)</f>
        <v>Medium Value</v>
      </c>
    </row>
    <row r="300" spans="1:6" x14ac:dyDescent="0.25">
      <c r="A300" t="s">
        <v>121</v>
      </c>
      <c r="B300">
        <v>15042</v>
      </c>
      <c r="C300">
        <f t="shared" si="12"/>
        <v>53</v>
      </c>
      <c r="D300" s="12">
        <f t="shared" si="13"/>
        <v>1</v>
      </c>
      <c r="E300" s="8">
        <f t="shared" si="14"/>
        <v>0.17666666666666667</v>
      </c>
      <c r="F300" t="str" cm="1">
        <f t="array" ref="F300">_xlfn.IFS(
 E300&lt;=0.2,"High Value",
 E300&lt;=0.6,"Medium Value",
 TRUE,"Low Value"
)</f>
        <v>High Value</v>
      </c>
    </row>
    <row r="301" spans="1:6" x14ac:dyDescent="0.25">
      <c r="A301" t="s">
        <v>187</v>
      </c>
      <c r="B301">
        <v>9986</v>
      </c>
      <c r="C301">
        <f t="shared" si="12"/>
        <v>132</v>
      </c>
      <c r="D301" s="12">
        <f t="shared" si="13"/>
        <v>2</v>
      </c>
      <c r="E301" s="8">
        <f t="shared" si="14"/>
        <v>0.44</v>
      </c>
      <c r="F301" t="str" cm="1">
        <f t="array" ref="F301">_xlfn.IFS(
 E301&lt;=0.2,"High Value",
 E301&lt;=0.6,"Medium Value",
 TRUE,"Low Value"
)</f>
        <v>Medium Value</v>
      </c>
    </row>
    <row r="302" spans="1:6" x14ac:dyDescent="0.25">
      <c r="A302" t="s">
        <v>2127</v>
      </c>
      <c r="B302">
        <v>2970827</v>
      </c>
      <c r="C302">
        <f t="shared" si="12"/>
        <v>1</v>
      </c>
      <c r="D302" s="12">
        <f t="shared" si="13"/>
        <v>1</v>
      </c>
      <c r="E302" s="8">
        <f t="shared" si="14"/>
        <v>3.3333333333333335E-3</v>
      </c>
      <c r="F302" t="str" cm="1">
        <f t="array" ref="F302">_xlfn.IFS(
 E302&lt;=0.2,"High Value",
 E302&lt;=0.6,"Medium Value",
 TRUE,"Low Value"
)</f>
        <v>High Value</v>
      </c>
    </row>
  </sheetData>
  <conditionalFormatting sqref="D3:D302">
    <cfRule type="iconSet" priority="2">
      <iconSet showValue="0" reverse="1">
        <cfvo type="percent" val="0"/>
        <cfvo type="num" val="2"/>
        <cfvo type="num" val="3"/>
      </iconSet>
    </cfRule>
  </conditionalFormatting>
  <conditionalFormatting sqref="F3">
    <cfRule type="iconSet" priority="1">
      <iconSet>
        <cfvo type="percent" val="0"/>
        <cfvo type="percent" val="33"/>
        <cfvo type="percent" val="67"/>
      </iconSet>
    </cfRule>
    <cfRule type="top10" dxfId="0" priority="4" percent="1" rank="30"/>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B877B-025F-42F7-89B7-1EC095C859FA}">
  <dimension ref="C17:P53"/>
  <sheetViews>
    <sheetView showGridLines="0" showRowColHeaders="0" tabSelected="1" topLeftCell="A34" zoomScale="120" zoomScaleNormal="120" workbookViewId="0">
      <selection activeCell="Q40" sqref="Q40"/>
    </sheetView>
  </sheetViews>
  <sheetFormatPr defaultRowHeight="15" x14ac:dyDescent="0.25"/>
  <cols>
    <col min="2" max="2" width="3.85546875" customWidth="1"/>
    <col min="3" max="3" width="18.42578125" bestFit="1" customWidth="1"/>
    <col min="4" max="4" width="16.28515625" bestFit="1" customWidth="1"/>
    <col min="5" max="5" width="8.5703125" bestFit="1" customWidth="1"/>
    <col min="6" max="6" width="11.5703125" bestFit="1" customWidth="1"/>
    <col min="7" max="8" width="9.7109375" bestFit="1" customWidth="1"/>
    <col min="9" max="9" width="12.140625" bestFit="1" customWidth="1"/>
    <col min="10" max="10" width="19.5703125" bestFit="1" customWidth="1"/>
    <col min="11" max="11" width="12.140625" bestFit="1" customWidth="1"/>
    <col min="12" max="12" width="24.140625" bestFit="1" customWidth="1"/>
    <col min="13" max="13" width="9.7109375" bestFit="1" customWidth="1"/>
    <col min="14" max="14" width="11.42578125" bestFit="1" customWidth="1"/>
    <col min="15" max="15" width="11.5703125" bestFit="1" customWidth="1"/>
    <col min="16" max="16" width="20.140625" bestFit="1" customWidth="1"/>
    <col min="17" max="638" width="10.5703125" bestFit="1" customWidth="1"/>
    <col min="639" max="639" width="11.42578125" bestFit="1" customWidth="1"/>
  </cols>
  <sheetData>
    <row r="17" spans="3:16" x14ac:dyDescent="0.25">
      <c r="I17" s="4" t="s">
        <v>2129</v>
      </c>
      <c r="O17" s="3" t="s">
        <v>2128</v>
      </c>
    </row>
    <row r="18" spans="3:16" x14ac:dyDescent="0.25">
      <c r="C18" s="2" t="s">
        <v>4</v>
      </c>
      <c r="D18" t="s">
        <v>2150</v>
      </c>
    </row>
    <row r="19" spans="3:16" x14ac:dyDescent="0.25">
      <c r="C19" t="s">
        <v>35</v>
      </c>
      <c r="D19">
        <v>974</v>
      </c>
      <c r="I19" s="2" t="s">
        <v>4</v>
      </c>
      <c r="J19" t="s">
        <v>2149</v>
      </c>
      <c r="K19" s="2" t="s">
        <v>4</v>
      </c>
      <c r="L19" t="s">
        <v>2152</v>
      </c>
      <c r="O19" s="2" t="s">
        <v>3</v>
      </c>
      <c r="P19" t="s">
        <v>2151</v>
      </c>
    </row>
    <row r="20" spans="3:16" x14ac:dyDescent="0.25">
      <c r="C20" t="s">
        <v>25</v>
      </c>
      <c r="D20">
        <v>945</v>
      </c>
      <c r="I20" t="s">
        <v>35</v>
      </c>
      <c r="J20">
        <v>624312</v>
      </c>
      <c r="K20" t="s">
        <v>35</v>
      </c>
      <c r="L20" s="5">
        <v>0.21014754477456951</v>
      </c>
      <c r="O20" t="s">
        <v>20</v>
      </c>
      <c r="P20" s="5">
        <v>0.26704920885665845</v>
      </c>
    </row>
    <row r="21" spans="3:16" x14ac:dyDescent="0.25">
      <c r="C21" t="s">
        <v>14</v>
      </c>
      <c r="D21">
        <v>897</v>
      </c>
      <c r="I21" t="s">
        <v>25</v>
      </c>
      <c r="J21">
        <v>598183</v>
      </c>
      <c r="K21" t="s">
        <v>25</v>
      </c>
      <c r="L21" s="5">
        <v>0.20135235070907864</v>
      </c>
      <c r="O21" t="s">
        <v>10</v>
      </c>
      <c r="P21" s="5">
        <v>0.25187834902537237</v>
      </c>
    </row>
    <row r="22" spans="3:16" x14ac:dyDescent="0.25">
      <c r="C22" t="s">
        <v>11</v>
      </c>
      <c r="D22">
        <v>894</v>
      </c>
      <c r="I22" t="s">
        <v>14</v>
      </c>
      <c r="J22">
        <v>597687</v>
      </c>
      <c r="K22" t="s">
        <v>14</v>
      </c>
      <c r="L22" s="5">
        <v>0.20118539383141462</v>
      </c>
      <c r="O22" t="s">
        <v>17</v>
      </c>
      <c r="P22" s="5">
        <v>0.24617926254204636</v>
      </c>
    </row>
    <row r="23" spans="3:16" x14ac:dyDescent="0.25">
      <c r="C23" t="s">
        <v>32</v>
      </c>
      <c r="D23">
        <v>873</v>
      </c>
      <c r="I23" t="s">
        <v>11</v>
      </c>
      <c r="J23">
        <v>578447</v>
      </c>
      <c r="K23" t="s">
        <v>11</v>
      </c>
      <c r="L23" s="5">
        <v>0.19470908268976955</v>
      </c>
      <c r="O23" t="s">
        <v>27</v>
      </c>
      <c r="P23" s="5">
        <v>0.23489317957592279</v>
      </c>
    </row>
    <row r="24" spans="3:16" x14ac:dyDescent="0.25">
      <c r="C24" t="s">
        <v>2127</v>
      </c>
      <c r="D24">
        <v>4583</v>
      </c>
      <c r="I24" t="s">
        <v>32</v>
      </c>
      <c r="J24">
        <v>572198</v>
      </c>
      <c r="K24" t="s">
        <v>32</v>
      </c>
      <c r="L24" s="5">
        <v>0.19260562799516767</v>
      </c>
      <c r="O24" t="s">
        <v>2127</v>
      </c>
      <c r="P24" s="10">
        <v>1</v>
      </c>
    </row>
    <row r="38" spans="3:6" x14ac:dyDescent="0.25">
      <c r="C38" s="2" t="s">
        <v>2153</v>
      </c>
      <c r="D38" s="2" t="s">
        <v>2130</v>
      </c>
    </row>
    <row r="39" spans="3:6" x14ac:dyDescent="0.25">
      <c r="C39" s="2" t="s">
        <v>2154</v>
      </c>
      <c r="D39" t="s">
        <v>2131</v>
      </c>
      <c r="E39" t="s">
        <v>2144</v>
      </c>
      <c r="F39" t="s">
        <v>2127</v>
      </c>
    </row>
    <row r="40" spans="3:6" x14ac:dyDescent="0.25">
      <c r="C40" s="6" t="s">
        <v>2132</v>
      </c>
      <c r="D40">
        <v>140424</v>
      </c>
      <c r="E40">
        <v>108628</v>
      </c>
      <c r="F40">
        <v>249052</v>
      </c>
    </row>
    <row r="41" spans="3:6" x14ac:dyDescent="0.25">
      <c r="C41" s="6" t="s">
        <v>2133</v>
      </c>
      <c r="D41">
        <v>120361</v>
      </c>
      <c r="E41">
        <v>128565</v>
      </c>
      <c r="F41">
        <v>248926</v>
      </c>
    </row>
    <row r="42" spans="3:6" x14ac:dyDescent="0.25">
      <c r="C42" s="6" t="s">
        <v>2134</v>
      </c>
      <c r="D42">
        <v>125960</v>
      </c>
      <c r="E42">
        <v>153770</v>
      </c>
      <c r="F42">
        <v>279730</v>
      </c>
    </row>
    <row r="43" spans="3:6" x14ac:dyDescent="0.25">
      <c r="C43" s="6" t="s">
        <v>2135</v>
      </c>
      <c r="D43">
        <v>144617</v>
      </c>
      <c r="E43">
        <v>133456</v>
      </c>
      <c r="F43">
        <v>278073</v>
      </c>
    </row>
    <row r="44" spans="3:6" x14ac:dyDescent="0.25">
      <c r="C44" s="6" t="s">
        <v>2136</v>
      </c>
      <c r="D44">
        <v>120639</v>
      </c>
      <c r="E44">
        <v>130461</v>
      </c>
      <c r="F44">
        <v>251100</v>
      </c>
    </row>
    <row r="45" spans="3:6" x14ac:dyDescent="0.25">
      <c r="C45" s="6" t="s">
        <v>2137</v>
      </c>
      <c r="D45">
        <v>131161</v>
      </c>
      <c r="E45">
        <v>128565</v>
      </c>
      <c r="F45">
        <v>259726</v>
      </c>
    </row>
    <row r="46" spans="3:6" x14ac:dyDescent="0.25">
      <c r="C46" s="6" t="s">
        <v>2138</v>
      </c>
      <c r="D46">
        <v>128389</v>
      </c>
      <c r="E46">
        <v>96330</v>
      </c>
      <c r="F46">
        <v>224719</v>
      </c>
    </row>
    <row r="47" spans="3:6" x14ac:dyDescent="0.25">
      <c r="C47" s="6" t="s">
        <v>2139</v>
      </c>
      <c r="D47">
        <v>110035</v>
      </c>
      <c r="E47">
        <v>130697</v>
      </c>
      <c r="F47">
        <v>240732</v>
      </c>
    </row>
    <row r="48" spans="3:6" x14ac:dyDescent="0.25">
      <c r="C48" s="6" t="s">
        <v>2140</v>
      </c>
      <c r="D48">
        <v>120726</v>
      </c>
      <c r="E48">
        <v>126207</v>
      </c>
      <c r="F48">
        <v>246933</v>
      </c>
    </row>
    <row r="49" spans="3:12" x14ac:dyDescent="0.25">
      <c r="C49" s="6" t="s">
        <v>2141</v>
      </c>
      <c r="D49">
        <v>145767</v>
      </c>
      <c r="E49">
        <v>142992</v>
      </c>
      <c r="F49">
        <v>288759</v>
      </c>
    </row>
    <row r="50" spans="3:12" x14ac:dyDescent="0.25">
      <c r="C50" s="6" t="s">
        <v>2142</v>
      </c>
      <c r="D50">
        <v>149873</v>
      </c>
      <c r="E50">
        <v>98723</v>
      </c>
      <c r="F50">
        <v>248596</v>
      </c>
    </row>
    <row r="51" spans="3:12" x14ac:dyDescent="0.25">
      <c r="C51" s="6" t="s">
        <v>2143</v>
      </c>
      <c r="D51">
        <v>149086</v>
      </c>
      <c r="E51">
        <v>5395</v>
      </c>
      <c r="F51">
        <v>154481</v>
      </c>
    </row>
    <row r="52" spans="3:12" x14ac:dyDescent="0.25">
      <c r="C52" s="6" t="s">
        <v>2127</v>
      </c>
      <c r="D52">
        <v>1587038</v>
      </c>
      <c r="E52">
        <v>1383789</v>
      </c>
      <c r="F52">
        <v>2970827</v>
      </c>
    </row>
    <row r="53" spans="3:12" ht="18.75" x14ac:dyDescent="0.3">
      <c r="L53" s="11" t="s">
        <v>2155</v>
      </c>
    </row>
  </sheetData>
  <pageMargins left="0.7" right="0.7" top="0.75" bottom="0.75" header="0.3" footer="0.3"/>
  <pageSetup orientation="portrait" r:id="rId6"/>
  <drawing r:id="rId7"/>
  <extLst>
    <ext xmlns:x14="http://schemas.microsoft.com/office/spreadsheetml/2009/9/main" uri="{A8765BA9-456A-4dab-B4F3-ACF838C121DE}">
      <x14:slicerList>
        <x14:slicer r:id="rId8"/>
      </x14:slicerList>
    </ext>
    <ext xmlns:x15="http://schemas.microsoft.com/office/spreadsheetml/2010/11/main" uri="{7E03D99C-DC04-49d9-9315-930204A7B6E9}">
      <x15:timelineRefs>
        <x15:timelineRef r:id="rId9"/>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D80A6F4-38BF-40BB-B681-EC8A35471BD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Sales_Data</vt:lpstr>
      <vt:lpstr>Customers</vt:lpstr>
      <vt:lpstr>Products</vt:lpstr>
      <vt:lpstr>Ranking</vt:lpstr>
      <vt:lpstr>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Sushmitha Chowdary</cp:lastModifiedBy>
  <dcterms:created xsi:type="dcterms:W3CDTF">2026-01-07T02:36:33Z</dcterms:created>
  <dcterms:modified xsi:type="dcterms:W3CDTF">2026-01-26T06:19:14Z</dcterms:modified>
</cp:coreProperties>
</file>